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embeddings/oleObject2.bin" ContentType="application/vnd.openxmlformats-officedocument.oleObject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cuments\GitHub\year3_sem2\FIT3158\FIT3158 - Lab solution\"/>
    </mc:Choice>
  </mc:AlternateContent>
  <xr:revisionPtr revIDLastSave="0" documentId="13_ncr:1_{ED671EF0-94EB-46CF-BC08-D049180BA66B}" xr6:coauthVersionLast="47" xr6:coauthVersionMax="47" xr10:uidLastSave="{00000000-0000-0000-0000-000000000000}"/>
  <bookViews>
    <workbookView xWindow="19090" yWindow="-110" windowWidth="19420" windowHeight="11020" activeTab="4" xr2:uid="{00000000-000D-0000-FFFF-FFFF00000000}"/>
  </bookViews>
  <sheets>
    <sheet name="Question 1" sheetId="1" r:id="rId1"/>
    <sheet name="Question 2(a)" sheetId="4" r:id="rId2"/>
    <sheet name="Question 2 (b)" sheetId="8" r:id="rId3"/>
    <sheet name="Question 3" sheetId="3" r:id="rId4"/>
    <sheet name="Question 4" sheetId="5" r:id="rId5"/>
    <sheet name="SMDA" sheetId="2" state="veryHidden" r:id=""/>
  </sheets>
  <definedNames>
    <definedName name="solver_adj" localSheetId="0" hidden="1">'Question 1'!$D$4:$F$4</definedName>
    <definedName name="solver_adj" localSheetId="2" hidden="1">'Question 2 (b)'!$B$12:$D$12</definedName>
    <definedName name="solver_adj" localSheetId="1" hidden="1">'Question 2(a)'!$B$12:$D$12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ng" localSheetId="0" hidden="1">1</definedName>
    <definedName name="solver_eng" localSheetId="4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bd" localSheetId="0" hidden="1">2</definedName>
    <definedName name="solver_itr" localSheetId="0" hidden="1">100</definedName>
    <definedName name="solver_itr" localSheetId="2" hidden="1">100</definedName>
    <definedName name="solver_itr" localSheetId="1" hidden="1">100</definedName>
    <definedName name="solver_lhs1" localSheetId="0" hidden="1">'Question 1'!$D$4:$F$4</definedName>
    <definedName name="solver_lhs1" localSheetId="2" hidden="1">'Question 2 (b)'!$B$12:$D$12</definedName>
    <definedName name="solver_lhs1" localSheetId="1" hidden="1">'Question 2(a)'!$B$12:$D$12</definedName>
    <definedName name="solver_lhs2" localSheetId="0" hidden="1">'Question 1'!$D$4:$F$4</definedName>
    <definedName name="solver_lhs2" localSheetId="2" hidden="1">'Question 2 (b)'!$B$12:$D$12</definedName>
    <definedName name="solver_lhs2" localSheetId="1" hidden="1">'Question 2(a)'!$B$12:$D$12</definedName>
    <definedName name="solver_lhs3" localSheetId="0" hidden="1">'Question 1'!$G$9:$G$10</definedName>
    <definedName name="solver_lhs3" localSheetId="2" hidden="1">'Question 2 (b)'!$B$12:$D$12</definedName>
    <definedName name="solver_lhs3" localSheetId="1" hidden="1">'Question 2(a)'!$B$12:$D$12</definedName>
    <definedName name="solver_lhs4" localSheetId="2" hidden="1">'Question 2 (b)'!$B$12:$D$12</definedName>
    <definedName name="solver_lhs4" localSheetId="1" hidden="1">'Question 2(a)'!$B$12:$D$12</definedName>
    <definedName name="solver_lin" localSheetId="0" hidden="1">2</definedName>
    <definedName name="solver_lin" localSheetId="2" hidden="1">2</definedName>
    <definedName name="solver_lin" localSheetId="1" hidden="1">2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2</definedName>
    <definedName name="solver_neg" localSheetId="2" hidden="1">2</definedName>
    <definedName name="solver_neg" localSheetId="1" hidden="1">2</definedName>
    <definedName name="solver_neg" localSheetId="4" hidden="1">1</definedName>
    <definedName name="solver_nod" localSheetId="0" hidden="1">5000</definedName>
    <definedName name="solver_num" localSheetId="0" hidden="1">3</definedName>
    <definedName name="solver_num" localSheetId="2" hidden="1">2</definedName>
    <definedName name="solver_num" localSheetId="1" hidden="1">2</definedName>
    <definedName name="solver_num" localSheetId="4" hidden="1">0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fx" localSheetId="0" hidden="1">2</definedName>
    <definedName name="solver_opt" localSheetId="0" hidden="1">'Question 1'!$G$15</definedName>
    <definedName name="solver_opt" localSheetId="2" hidden="1">'Question 2 (b)'!$E$17</definedName>
    <definedName name="solver_opt" localSheetId="1" hidden="1">'Question 2(a)'!$E$17</definedName>
    <definedName name="solver_opt" localSheetId="4" hidden="1">'Question 4'!$D$5</definedName>
    <definedName name="solver_piv" localSheetId="0" hidden="1">0.000001</definedName>
    <definedName name="solver_pre" localSheetId="0" hidden="1">0.000001</definedName>
    <definedName name="solver_pre" localSheetId="2" hidden="1">0.000001</definedName>
    <definedName name="solver_pre" localSheetId="1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4</definedName>
    <definedName name="solver_rel1" localSheetId="2" hidden="1">3</definedName>
    <definedName name="solver_rel1" localSheetId="1" hidden="1">1</definedName>
    <definedName name="solver_rel2" localSheetId="0" hidden="1">3</definedName>
    <definedName name="solver_rel2" localSheetId="2" hidden="1">1</definedName>
    <definedName name="solver_rel2" localSheetId="1" hidden="1">3</definedName>
    <definedName name="solver_rel3" localSheetId="0" hidden="1">1</definedName>
    <definedName name="solver_rel3" localSheetId="2" hidden="1">1</definedName>
    <definedName name="solver_rel3" localSheetId="1" hidden="1">1</definedName>
    <definedName name="solver_rel4" localSheetId="2" hidden="1">3</definedName>
    <definedName name="solver_rel4" localSheetId="1" hidden="1">3</definedName>
    <definedName name="solver_reo" localSheetId="0" hidden="1">2</definedName>
    <definedName name="solver_rep" localSheetId="0" hidden="1">2</definedName>
    <definedName name="solver_rhs1" localSheetId="0" hidden="1">Integer</definedName>
    <definedName name="solver_rhs1" localSheetId="2" hidden="1">'Question 2 (b)'!$B$7:$D$7</definedName>
    <definedName name="solver_rhs1" localSheetId="1" hidden="1">'Question 2(a)'!$B$8:$D$8</definedName>
    <definedName name="solver_rhs2" localSheetId="0" hidden="1">1</definedName>
    <definedName name="solver_rhs2" localSheetId="2" hidden="1">'Question 2 (b)'!$B$8:$D$8</definedName>
    <definedName name="solver_rhs2" localSheetId="1" hidden="1">'Question 2(a)'!$B$7:$D$7</definedName>
    <definedName name="solver_rhs3" localSheetId="0" hidden="1">'Question 1'!$H$9:$H$10</definedName>
    <definedName name="solver_rhs3" localSheetId="2" hidden="1">'Question 2 (b)'!$B$8:$D$8</definedName>
    <definedName name="solver_rhs3" localSheetId="1" hidden="1">'Question 2(a)'!$B$8:$D$8</definedName>
    <definedName name="solver_rhs4" localSheetId="2" hidden="1">'Question 2 (b)'!$B$7:$D$7</definedName>
    <definedName name="solver_rhs4" localSheetId="1" hidden="1">'Question 2(a)'!$B$7:$D$7</definedName>
    <definedName name="solver_rlx" localSheetId="0" hidden="1">2</definedName>
    <definedName name="solver_scl" localSheetId="0" hidden="1">1</definedName>
    <definedName name="solver_scl" localSheetId="2" hidden="1">2</definedName>
    <definedName name="solver_scl" localSheetId="1" hidden="1">2</definedName>
    <definedName name="solver_sho" localSheetId="0" hidden="1">2</definedName>
    <definedName name="solver_sho" localSheetId="2" hidden="1">2</definedName>
    <definedName name="solver_sho" localSheetId="1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im" localSheetId="2" hidden="1">100</definedName>
    <definedName name="solver_tim" localSheetId="1" hidden="1">100</definedName>
    <definedName name="solver_tol" localSheetId="0" hidden="1">0.05</definedName>
    <definedName name="solver_tol" localSheetId="2" hidden="1">0.05</definedName>
    <definedName name="solver_tol" localSheetId="1" hidden="1">0.05</definedName>
    <definedName name="solver_typ" localSheetId="0" hidden="1">2</definedName>
    <definedName name="solver_typ" localSheetId="2" hidden="1">2</definedName>
    <definedName name="solver_typ" localSheetId="1" hidden="1">2</definedName>
    <definedName name="solver_typ" localSheetId="4" hidden="1">1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al" localSheetId="4" hidden="1">0</definedName>
    <definedName name="solver_ver" localSheetId="0" hidden="1">2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D15" i="4"/>
  <c r="D14" i="4"/>
  <c r="D17" i="4" s="1"/>
  <c r="B14" i="4"/>
  <c r="B16" i="4" l="1"/>
  <c r="B15" i="4"/>
  <c r="B15" i="8"/>
  <c r="C14" i="8"/>
  <c r="C15" i="8"/>
  <c r="C16" i="8"/>
  <c r="D14" i="8"/>
  <c r="D16" i="8" s="1"/>
  <c r="D15" i="8"/>
  <c r="C16" i="4"/>
  <c r="C15" i="4"/>
  <c r="C14" i="4"/>
  <c r="D8" i="8"/>
  <c r="B14" i="8"/>
  <c r="B16" i="8" s="1"/>
  <c r="D11" i="5"/>
  <c r="I4" i="5" s="1"/>
  <c r="D12" i="5"/>
  <c r="D17" i="5" s="1"/>
  <c r="D10" i="3"/>
  <c r="D11" i="3" s="1"/>
  <c r="J3" i="3" s="1"/>
  <c r="B17" i="4"/>
  <c r="D8" i="4"/>
  <c r="E6" i="1"/>
  <c r="E7" i="1" s="1"/>
  <c r="F6" i="1"/>
  <c r="F7" i="1"/>
  <c r="D6" i="1"/>
  <c r="D7" i="1" s="1"/>
  <c r="G10" i="1"/>
  <c r="G9" i="1"/>
  <c r="G13" i="1"/>
  <c r="F14" i="1"/>
  <c r="D14" i="1"/>
  <c r="E14" i="1"/>
  <c r="G14" i="1"/>
  <c r="D14" i="5" l="1"/>
  <c r="C17" i="4"/>
  <c r="D18" i="4" s="1"/>
  <c r="G15" i="1"/>
  <c r="C17" i="8"/>
  <c r="B17" i="8"/>
  <c r="D18" i="5"/>
  <c r="I3" i="3"/>
  <c r="C18" i="4"/>
  <c r="E17" i="4"/>
  <c r="B18" i="4"/>
  <c r="D14" i="3"/>
  <c r="D12" i="3"/>
  <c r="D13" i="3"/>
  <c r="D16" i="5"/>
  <c r="D19" i="5" s="1"/>
  <c r="K4" i="5" s="1"/>
  <c r="J4" i="5"/>
  <c r="D13" i="5"/>
  <c r="D15" i="5"/>
  <c r="D17" i="8"/>
  <c r="D18" i="8" s="1"/>
  <c r="C18" i="8" l="1"/>
  <c r="B18" i="8"/>
  <c r="D15" i="3"/>
  <c r="K3" i="3" s="1"/>
  <c r="E1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D4" authorId="0" shapeId="0" xr:uid="{00000000-0006-0000-00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4" authorId="0" shapeId="0" xr:uid="{00000000-0006-0000-00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4" authorId="0" shapeId="0" xr:uid="{00000000-0006-0000-00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9" authorId="0" shapeId="0" xr:uid="{00000000-0006-0000-00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0" authorId="0" shapeId="0" xr:uid="{00000000-0006-0000-0000-000005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5" authorId="0" shapeId="0" xr:uid="{00000000-0006-0000-0000-000006000000}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12" authorId="0" shapeId="0" xr:uid="{00000000-0006-0000-01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C12" authorId="0" shapeId="0" xr:uid="{00000000-0006-0000-01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2" authorId="0" shapeId="0" xr:uid="{00000000-0006-0000-01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00000000-0006-0000-0100-000004000000}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12" authorId="0" shapeId="0" xr:uid="{00000000-0006-0000-02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C12" authorId="0" shapeId="0" xr:uid="{00000000-0006-0000-02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12" authorId="0" shapeId="0" xr:uid="{00000000-0006-0000-02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17" authorId="0" shapeId="0" xr:uid="{00000000-0006-0000-0200-000004000000}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<sst xmlns="http://schemas.openxmlformats.org/spreadsheetml/2006/main" count="61" uniqueCount="38">
  <si>
    <t>Annnual Demand</t>
  </si>
  <si>
    <t>Order Quantity</t>
  </si>
  <si>
    <t>Annual Orders Placed</t>
  </si>
  <si>
    <t>Order Frequency</t>
  </si>
  <si>
    <t>Total</t>
  </si>
  <si>
    <t>Available</t>
  </si>
  <si>
    <t>Unit Cost</t>
  </si>
  <si>
    <t>Storage space req'd</t>
  </si>
  <si>
    <t>Cost per Order</t>
  </si>
  <si>
    <t>Annual Demand</t>
  </si>
  <si>
    <t>Cost per Unit</t>
  </si>
  <si>
    <t>Minimum Order Size</t>
  </si>
  <si>
    <t>Maximum Order Size</t>
  </si>
  <si>
    <t>Holding Cost</t>
  </si>
  <si>
    <t>Purchasing Cost</t>
  </si>
  <si>
    <t>Cost of Ordering</t>
  </si>
  <si>
    <t>Total Cost</t>
  </si>
  <si>
    <t>Annual Demand (A)</t>
  </si>
  <si>
    <t>Cost per Unit (c)</t>
  </si>
  <si>
    <t>Cost per Order (k)</t>
  </si>
  <si>
    <t>Holding Cost (h)</t>
  </si>
  <si>
    <t>optimal order quantity</t>
  </si>
  <si>
    <t>Number of orders per year</t>
  </si>
  <si>
    <t>cycle time</t>
  </si>
  <si>
    <t>Order costs</t>
  </si>
  <si>
    <t>Total costs</t>
  </si>
  <si>
    <t>Backorder Penalty cost (p)</t>
  </si>
  <si>
    <t>Max Number of backorders</t>
  </si>
  <si>
    <t>Quantity at the start of each cycle (S*)</t>
  </si>
  <si>
    <t>Optimal order quantity (Q*)</t>
  </si>
  <si>
    <t>Backorder costs</t>
  </si>
  <si>
    <t>comment:</t>
  </si>
  <si>
    <t>as shortage costs increase, S* gets closer to Q*. I.e. is is too costly to have items on backorder</t>
  </si>
  <si>
    <t>Penalty (p)</t>
  </si>
  <si>
    <t>Annual Demand(A)</t>
  </si>
  <si>
    <t xml:space="preserve">Holding cost </t>
  </si>
  <si>
    <t>Holding Cost (% unit cost)</t>
  </si>
  <si>
    <t>Holding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</si>
</sst>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  <numFmt numFmtId="165" formatCode="0.000"/>
    <numFmt numFmtId="166" formatCode="#,##0.0"/>
    <numFmt numFmtId="167" formatCode="0.0"/>
    <numFmt numFmtId="168" formatCode="&quot;Q*&quot;"/>
    <numFmt numFmtId="169" formatCode="&quot;S*&quot;"/>
    <numFmt numFmtId="170" formatCode="&quot;Total cost&quot;"/>
    <numFmt numFmtId="171" formatCode="&quot;EOQ&quot;"/>
    <numFmt numFmtId="172" formatCode="&quot;No.of orders per yr&quot;"/>
    <numFmt numFmtId="173" formatCode="&quot;Total Cost&quot;"/>
  </numFmts>
  <fonts count="1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7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7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Continuous"/>
    </xf>
    <xf numFmtId="0" fontId="0" fillId="0" borderId="0" xfId="0" applyAlignment="1">
      <alignment horizontal="left"/>
    </xf>
    <xf numFmtId="9" fontId="0" fillId="0" borderId="0" xfId="2" applyFont="1" applyAlignment="1">
      <alignment horizontal="left"/>
    </xf>
    <xf numFmtId="164" fontId="0" fillId="0" borderId="0" xfId="0" applyNumberFormat="1"/>
    <xf numFmtId="3" fontId="0" fillId="0" borderId="0" xfId="0" applyNumberFormat="1"/>
    <xf numFmtId="3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9" fontId="1" fillId="0" borderId="0" xfId="2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66" fontId="0" fillId="0" borderId="0" xfId="0" applyNumberFormat="1" applyAlignment="1">
      <alignment horizontal="center"/>
    </xf>
    <xf numFmtId="164" fontId="4" fillId="0" borderId="0" xfId="0" applyNumberFormat="1" applyFont="1" applyFill="1" applyBorder="1"/>
    <xf numFmtId="0" fontId="4" fillId="0" borderId="0" xfId="0" applyFont="1" applyFill="1" applyBorder="1"/>
    <xf numFmtId="167" fontId="0" fillId="0" borderId="0" xfId="0" applyNumberFormat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64" fontId="8" fillId="2" borderId="2" xfId="0" applyNumberFormat="1" applyFont="1" applyFill="1" applyBorder="1" applyAlignment="1">
      <alignment horizontal="center"/>
    </xf>
    <xf numFmtId="2" fontId="8" fillId="2" borderId="2" xfId="0" applyNumberFormat="1" applyFont="1" applyFill="1" applyBorder="1" applyAlignment="1">
      <alignment horizontal="center"/>
    </xf>
    <xf numFmtId="164" fontId="9" fillId="2" borderId="3" xfId="0" applyNumberFormat="1" applyFont="1" applyFill="1" applyBorder="1" applyAlignment="1">
      <alignment horizontal="center"/>
    </xf>
    <xf numFmtId="5" fontId="1" fillId="0" borderId="0" xfId="1" applyNumberFormat="1" applyFont="1" applyAlignment="1">
      <alignment horizontal="center"/>
    </xf>
    <xf numFmtId="37" fontId="1" fillId="0" borderId="0" xfId="1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5" fontId="2" fillId="0" borderId="0" xfId="1" applyNumberFormat="1" applyFont="1" applyAlignment="1">
      <alignment horizontal="center"/>
    </xf>
    <xf numFmtId="5" fontId="11" fillId="0" borderId="0" xfId="1" applyNumberFormat="1" applyFont="1" applyFill="1" applyBorder="1" applyAlignment="1">
      <alignment horizontal="center"/>
    </xf>
    <xf numFmtId="5" fontId="9" fillId="2" borderId="3" xfId="1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167" fontId="0" fillId="0" borderId="0" xfId="0" applyNumberFormat="1"/>
    <xf numFmtId="165" fontId="0" fillId="0" borderId="0" xfId="0" applyNumberFormat="1"/>
    <xf numFmtId="3" fontId="1" fillId="3" borderId="0" xfId="0" applyNumberFormat="1" applyFont="1" applyFill="1" applyAlignment="1">
      <alignment horizontal="center"/>
    </xf>
    <xf numFmtId="5" fontId="1" fillId="3" borderId="0" xfId="1" applyNumberFormat="1" applyFont="1" applyFill="1" applyAlignment="1">
      <alignment horizontal="center"/>
    </xf>
    <xf numFmtId="9" fontId="1" fillId="3" borderId="0" xfId="0" applyNumberFormat="1" applyFont="1" applyFill="1" applyAlignment="1">
      <alignment horizontal="center"/>
    </xf>
    <xf numFmtId="0" fontId="1" fillId="0" borderId="0" xfId="0" applyFont="1" applyFill="1" applyBorder="1"/>
    <xf numFmtId="165" fontId="5" fillId="4" borderId="0" xfId="0" applyNumberFormat="1" applyFont="1" applyFill="1" applyAlignment="1">
      <alignment horizontal="center"/>
    </xf>
    <xf numFmtId="167" fontId="5" fillId="4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2" fontId="3" fillId="2" borderId="1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0" fillId="0" borderId="4" xfId="0" applyNumberFormat="1" applyBorder="1"/>
    <xf numFmtId="169" fontId="0" fillId="0" borderId="4" xfId="0" applyNumberFormat="1" applyBorder="1"/>
    <xf numFmtId="170" fontId="0" fillId="0" borderId="4" xfId="0" applyNumberFormat="1" applyBorder="1"/>
    <xf numFmtId="0" fontId="0" fillId="0" borderId="5" xfId="0" applyBorder="1"/>
    <xf numFmtId="0" fontId="2" fillId="0" borderId="6" xfId="0" applyFont="1" applyBorder="1"/>
    <xf numFmtId="171" fontId="0" fillId="0" borderId="4" xfId="0" applyNumberFormat="1" applyBorder="1"/>
    <xf numFmtId="172" fontId="0" fillId="0" borderId="4" xfId="0" applyNumberFormat="1" applyBorder="1"/>
    <xf numFmtId="173" fontId="0" fillId="0" borderId="4" xfId="0" applyNumberFormat="1" applyBorder="1"/>
    <xf numFmtId="0" fontId="2" fillId="0" borderId="6" xfId="0" applyFont="1" applyBorder="1" applyAlignment="1">
      <alignment horizontal="right"/>
    </xf>
    <xf numFmtId="0" fontId="0" fillId="0" borderId="4" xfId="0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Demand vs EOQ</a:t>
            </a:r>
          </a:p>
        </c:rich>
      </c:tx>
      <c:layout>
        <c:manualLayout>
          <c:xMode val="edge"/>
          <c:yMode val="edge"/>
          <c:x val="0.40413041290192703"/>
          <c:y val="3.16302261761698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74355403005456"/>
          <c:y val="0.17274980219216229"/>
          <c:w val="0.71681519176229458"/>
          <c:h val="0.67153444232446191"/>
        </c:manualLayout>
      </c:layout>
      <c:lineChart>
        <c:grouping val="standard"/>
        <c:varyColors val="0"/>
        <c:ser>
          <c:idx val="1"/>
          <c:order val="0"/>
          <c:tx>
            <c:v>EOQ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'Question 3'!$H$4:$H$33</c:f>
              <c:numCache>
                <c:formatCode>General</c:formatCode>
                <c:ptCount val="30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  <c:pt idx="12">
                  <c:v>130000</c:v>
                </c:pt>
                <c:pt idx="13">
                  <c:v>140000</c:v>
                </c:pt>
                <c:pt idx="14">
                  <c:v>150000</c:v>
                </c:pt>
                <c:pt idx="15">
                  <c:v>160000</c:v>
                </c:pt>
                <c:pt idx="16">
                  <c:v>170000</c:v>
                </c:pt>
                <c:pt idx="17">
                  <c:v>180000</c:v>
                </c:pt>
                <c:pt idx="18">
                  <c:v>190000</c:v>
                </c:pt>
                <c:pt idx="19">
                  <c:v>200000</c:v>
                </c:pt>
                <c:pt idx="20">
                  <c:v>210000</c:v>
                </c:pt>
                <c:pt idx="21">
                  <c:v>220000</c:v>
                </c:pt>
                <c:pt idx="22">
                  <c:v>230000</c:v>
                </c:pt>
                <c:pt idx="23">
                  <c:v>240000</c:v>
                </c:pt>
                <c:pt idx="24">
                  <c:v>250000</c:v>
                </c:pt>
                <c:pt idx="25">
                  <c:v>260000</c:v>
                </c:pt>
                <c:pt idx="26">
                  <c:v>270000</c:v>
                </c:pt>
                <c:pt idx="27">
                  <c:v>280000</c:v>
                </c:pt>
                <c:pt idx="28">
                  <c:v>290000</c:v>
                </c:pt>
                <c:pt idx="29">
                  <c:v>300000</c:v>
                </c:pt>
              </c:numCache>
            </c:numRef>
          </c:cat>
          <c:val>
            <c:numRef>
              <c:f>'Question 3'!$I$4:$I$33</c:f>
              <c:numCache>
                <c:formatCode>0.0</c:formatCode>
                <c:ptCount val="30"/>
                <c:pt idx="0">
                  <c:v>730.2967433402215</c:v>
                </c:pt>
                <c:pt idx="1">
                  <c:v>1032.7955589886446</c:v>
                </c:pt>
                <c:pt idx="2">
                  <c:v>1264.9110640673518</c:v>
                </c:pt>
                <c:pt idx="3">
                  <c:v>1460.593486680443</c:v>
                </c:pt>
                <c:pt idx="4">
                  <c:v>1632.9931618554519</c:v>
                </c:pt>
                <c:pt idx="5">
                  <c:v>1788.8543819998317</c:v>
                </c:pt>
                <c:pt idx="6">
                  <c:v>1932.1835661585919</c:v>
                </c:pt>
                <c:pt idx="7">
                  <c:v>2065.5911179772893</c:v>
                </c:pt>
                <c:pt idx="8">
                  <c:v>2190.8902300206646</c:v>
                </c:pt>
                <c:pt idx="9">
                  <c:v>2309.4010767585028</c:v>
                </c:pt>
                <c:pt idx="10">
                  <c:v>2422.1202832779936</c:v>
                </c:pt>
                <c:pt idx="11">
                  <c:v>2529.8221281347037</c:v>
                </c:pt>
                <c:pt idx="12">
                  <c:v>2633.1223544175332</c:v>
                </c:pt>
                <c:pt idx="13">
                  <c:v>2732.5202042558931</c:v>
                </c:pt>
                <c:pt idx="14">
                  <c:v>2828.4271247461902</c:v>
                </c:pt>
                <c:pt idx="15">
                  <c:v>2921.186973360886</c:v>
                </c:pt>
                <c:pt idx="16">
                  <c:v>3011.0906108363238</c:v>
                </c:pt>
                <c:pt idx="17">
                  <c:v>3098.3866769659335</c:v>
                </c:pt>
                <c:pt idx="18">
                  <c:v>3183.2897030168861</c:v>
                </c:pt>
                <c:pt idx="19">
                  <c:v>3265.9863237109039</c:v>
                </c:pt>
                <c:pt idx="20">
                  <c:v>3346.6401061363022</c:v>
                </c:pt>
                <c:pt idx="21">
                  <c:v>3425.3953543107014</c:v>
                </c:pt>
                <c:pt idx="22">
                  <c:v>3502.3801430836525</c:v>
                </c:pt>
                <c:pt idx="23">
                  <c:v>3577.7087639996635</c:v>
                </c:pt>
                <c:pt idx="24">
                  <c:v>3651.4837167011074</c:v>
                </c:pt>
                <c:pt idx="25">
                  <c:v>3723.7973450050508</c:v>
                </c:pt>
                <c:pt idx="26">
                  <c:v>3794.7331922020553</c:v>
                </c:pt>
                <c:pt idx="27">
                  <c:v>3864.3671323171839</c:v>
                </c:pt>
                <c:pt idx="28">
                  <c:v>3932.7683210007003</c:v>
                </c:pt>
                <c:pt idx="29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3-4FB5-BA36-96B6593C2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060200"/>
        <c:axId val="1"/>
      </c:lineChart>
      <c:catAx>
        <c:axId val="393060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demand</a:t>
                </a:r>
              </a:p>
            </c:rich>
          </c:tx>
          <c:layout>
            <c:manualLayout>
              <c:xMode val="edge"/>
              <c:yMode val="edge"/>
              <c:x val="0.85496620444568316"/>
              <c:y val="0.91058179231012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EOQ - optimal order quantity</a:t>
                </a:r>
              </a:p>
            </c:rich>
          </c:tx>
          <c:layout>
            <c:manualLayout>
              <c:xMode val="edge"/>
              <c:yMode val="edge"/>
              <c:x val="2.359882005899705E-2"/>
              <c:y val="0.284672274735589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0602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411321342157954"/>
          <c:y val="0.48767741884182031"/>
          <c:w val="9.5238284274959048E-2"/>
          <c:h val="4.22536391776306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Q*,S* and TC vs p</a:t>
            </a:r>
          </a:p>
        </c:rich>
      </c:tx>
      <c:layout>
        <c:manualLayout>
          <c:xMode val="edge"/>
          <c:yMode val="edge"/>
          <c:x val="0.41592980877390323"/>
          <c:y val="3.3434784382522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84384051760766"/>
          <c:y val="0.12056737588652482"/>
          <c:w val="0.74619322949594802"/>
          <c:h val="0.70314083080040524"/>
        </c:manualLayout>
      </c:layout>
      <c:lineChart>
        <c:grouping val="standard"/>
        <c:varyColors val="0"/>
        <c:ser>
          <c:idx val="4"/>
          <c:order val="0"/>
          <c:tx>
            <c:v>Q*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'Question 4'!$H$5:$H$24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'Question 4'!$I$5:$I$24</c:f>
              <c:numCache>
                <c:formatCode>0.0</c:formatCode>
                <c:ptCount val="20"/>
                <c:pt idx="0">
                  <c:v>3651.4837167011074</c:v>
                </c:pt>
                <c:pt idx="1">
                  <c:v>3055.0504633038931</c:v>
                </c:pt>
                <c:pt idx="2">
                  <c:v>2828.4271247461902</c:v>
                </c:pt>
                <c:pt idx="3">
                  <c:v>2708.0128015453201</c:v>
                </c:pt>
                <c:pt idx="4">
                  <c:v>2633.1223544175332</c:v>
                </c:pt>
                <c:pt idx="5">
                  <c:v>2581.9888974716109</c:v>
                </c:pt>
                <c:pt idx="6">
                  <c:v>2544.8360411214071</c:v>
                </c:pt>
                <c:pt idx="7">
                  <c:v>2516.6114784235833</c:v>
                </c:pt>
                <c:pt idx="8">
                  <c:v>2494.4382578492941</c:v>
                </c:pt>
                <c:pt idx="9">
                  <c:v>2476.5567494675611</c:v>
                </c:pt>
                <c:pt idx="10">
                  <c:v>2461.8298195866546</c:v>
                </c:pt>
                <c:pt idx="11">
                  <c:v>2449.4897427831779</c:v>
                </c:pt>
                <c:pt idx="12">
                  <c:v>2438.9993744808439</c:v>
                </c:pt>
                <c:pt idx="13">
                  <c:v>2429.9715851758237</c:v>
                </c:pt>
                <c:pt idx="14">
                  <c:v>2422.1202832779936</c:v>
                </c:pt>
                <c:pt idx="15">
                  <c:v>2415.2294576982399</c:v>
                </c:pt>
                <c:pt idx="16">
                  <c:v>2409.132949554144</c:v>
                </c:pt>
                <c:pt idx="17">
                  <c:v>2403.7008503093261</c:v>
                </c:pt>
                <c:pt idx="18">
                  <c:v>2398.8301242297839</c:v>
                </c:pt>
                <c:pt idx="19">
                  <c:v>2394.4379994757292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1F-4A10-B11E-C4507A107C32}"/>
            </c:ext>
          </c:extLst>
        </c:ser>
        <c:ser>
          <c:idx val="5"/>
          <c:order val="1"/>
          <c:tx>
            <c:v>S*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Ref>
              <c:f>'Question 4'!$H$5:$H$24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'Question 4'!$J$5:$J$24</c:f>
              <c:numCache>
                <c:formatCode>0.0</c:formatCode>
                <c:ptCount val="20"/>
                <c:pt idx="0">
                  <c:v>1460.593486680443</c:v>
                </c:pt>
                <c:pt idx="1">
                  <c:v>1745.743121887939</c:v>
                </c:pt>
                <c:pt idx="2">
                  <c:v>1885.6180831641266</c:v>
                </c:pt>
                <c:pt idx="3">
                  <c:v>1969.4638556693237</c:v>
                </c:pt>
                <c:pt idx="4">
                  <c:v>2025.4787341673332</c:v>
                </c:pt>
                <c:pt idx="5">
                  <c:v>2065.5911179772893</c:v>
                </c:pt>
                <c:pt idx="6">
                  <c:v>2095.7473279823353</c:v>
                </c:pt>
                <c:pt idx="7">
                  <c:v>2119.2517713040702</c:v>
                </c:pt>
                <c:pt idx="8">
                  <c:v>2138.0899352993952</c:v>
                </c:pt>
                <c:pt idx="9">
                  <c:v>2153.5276082326618</c:v>
                </c:pt>
                <c:pt idx="10">
                  <c:v>2166.4102412362558</c:v>
                </c:pt>
                <c:pt idx="11">
                  <c:v>2177.3242158072694</c:v>
                </c:pt>
                <c:pt idx="12">
                  <c:v>2186.6890943621361</c:v>
                </c:pt>
                <c:pt idx="13">
                  <c:v>2194.8130446749374</c:v>
                </c:pt>
                <c:pt idx="14">
                  <c:v>2201.9275302527212</c:v>
                </c:pt>
                <c:pt idx="15">
                  <c:v>2208.2097898955335</c:v>
                </c:pt>
                <c:pt idx="16">
                  <c:v>2213.7978455362409</c:v>
                </c:pt>
                <c:pt idx="17">
                  <c:v>2218.8007849009164</c:v>
                </c:pt>
                <c:pt idx="18">
                  <c:v>2223.3059687983364</c:v>
                </c:pt>
                <c:pt idx="19">
                  <c:v>2227.384185558818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1F-4A10-B11E-C4507A107C32}"/>
            </c:ext>
          </c:extLst>
        </c:ser>
        <c:ser>
          <c:idx val="0"/>
          <c:order val="2"/>
          <c:tx>
            <c:v>Total Cost</c:v>
          </c:tx>
          <c:cat>
            <c:numRef>
              <c:f>'Question 4'!$H$5:$H$24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'Question 4'!$K$5:$K$24</c:f>
              <c:numCache>
                <c:formatCode>0.0</c:formatCode>
                <c:ptCount val="20"/>
                <c:pt idx="0">
                  <c:v>10954.451150103323</c:v>
                </c:pt>
                <c:pt idx="1">
                  <c:v>13093.073414159542</c:v>
                </c:pt>
                <c:pt idx="2">
                  <c:v>14142.135623730952</c:v>
                </c:pt>
                <c:pt idx="3">
                  <c:v>14770.978917519929</c:v>
                </c:pt>
                <c:pt idx="4">
                  <c:v>15191.090506254997</c:v>
                </c:pt>
                <c:pt idx="5">
                  <c:v>15491.933384829668</c:v>
                </c:pt>
                <c:pt idx="6">
                  <c:v>15718.104959867513</c:v>
                </c:pt>
                <c:pt idx="7">
                  <c:v>15894.388284780525</c:v>
                </c:pt>
                <c:pt idx="8">
                  <c:v>16035.674514745464</c:v>
                </c:pt>
                <c:pt idx="9">
                  <c:v>16151.457061744966</c:v>
                </c:pt>
                <c:pt idx="10">
                  <c:v>16248.076809271921</c:v>
                </c:pt>
                <c:pt idx="11">
                  <c:v>16329.931618554521</c:v>
                </c:pt>
                <c:pt idx="12">
                  <c:v>16400.168207716022</c:v>
                </c:pt>
                <c:pt idx="13">
                  <c:v>16461.097835062028</c:v>
                </c:pt>
                <c:pt idx="14">
                  <c:v>16514.456476895408</c:v>
                </c:pt>
                <c:pt idx="15">
                  <c:v>16561.573424216502</c:v>
                </c:pt>
                <c:pt idx="16">
                  <c:v>16603.483841521807</c:v>
                </c:pt>
                <c:pt idx="17">
                  <c:v>16641.005886756873</c:v>
                </c:pt>
                <c:pt idx="18">
                  <c:v>16674.794765987524</c:v>
                </c:pt>
                <c:pt idx="19">
                  <c:v>16705.381391691135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1F-4A10-B11E-C4507A107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12272"/>
        <c:axId val="1"/>
      </c:lineChart>
      <c:catAx>
        <c:axId val="396312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shortage cost (p)</a:t>
                </a:r>
              </a:p>
            </c:rich>
          </c:tx>
          <c:layout>
            <c:manualLayout>
              <c:xMode val="edge"/>
              <c:yMode val="edge"/>
              <c:x val="0.42182947131608545"/>
              <c:y val="0.890577563814885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Q*, S* and TC</a:t>
                </a:r>
              </a:p>
            </c:rich>
          </c:tx>
          <c:layout>
            <c:manualLayout>
              <c:xMode val="edge"/>
              <c:yMode val="edge"/>
              <c:x val="2.3598800149981253E-2"/>
              <c:y val="0.392097153658901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3122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485840042228857"/>
          <c:y val="0.42400124219113927"/>
          <c:w val="0.11604103620685752"/>
          <c:h val="0.13200038671988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14</xdr:row>
      <xdr:rowOff>76200</xdr:rowOff>
    </xdr:from>
    <xdr:to>
      <xdr:col>5</xdr:col>
      <xdr:colOff>95250</xdr:colOff>
      <xdr:row>18</xdr:row>
      <xdr:rowOff>93366</xdr:rowOff>
    </xdr:to>
    <xdr:sp macro="" textlink="">
      <xdr:nvSpPr>
        <xdr:cNvPr id="1026" name="Note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ChangeArrowheads="1"/>
        </xdr:cNvSpPr>
      </xdr:nvSpPr>
      <xdr:spPr bwMode="auto">
        <a:xfrm>
          <a:off x="3429000" y="2733675"/>
          <a:ext cx="2714625" cy="6858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G15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D4:F4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G9:G10&lt;=H9:H10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D4:F4&gt;=1 and integer </a:t>
          </a:r>
        </a:p>
      </xdr:txBody>
    </xdr:sp>
    <xdr:clientData/>
  </xdr:twoCellAnchor>
  <xdr:twoCellAnchor>
    <xdr:from>
      <xdr:col>2</xdr:col>
      <xdr:colOff>405765</xdr:colOff>
      <xdr:row>0</xdr:row>
      <xdr:rowOff>47625</xdr:rowOff>
    </xdr:from>
    <xdr:to>
      <xdr:col>6</xdr:col>
      <xdr:colOff>85725</xdr:colOff>
      <xdr:row>1</xdr:row>
      <xdr:rowOff>95250</xdr:rowOff>
    </xdr:to>
    <xdr:sp macro="[0]!Toggle" textlink="">
      <xdr:nvSpPr>
        <xdr:cNvPr id="1027" name="Text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rrowheads="1"/>
        </xdr:cNvSpPr>
      </xdr:nvSpPr>
      <xdr:spPr bwMode="auto">
        <a:xfrm>
          <a:off x="1847850" y="47625"/>
          <a:ext cx="2047875" cy="209550"/>
        </a:xfrm>
        <a:prstGeom prst="roundRect">
          <a:avLst>
            <a:gd name="adj" fmla="val 16667"/>
          </a:avLst>
        </a:prstGeom>
        <a:solidFill>
          <a:srgbClr val="00FFFF"/>
        </a:solidFill>
        <a:ln w="1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SuperCity</a:t>
          </a:r>
        </a:p>
      </xdr:txBody>
    </xdr:sp>
    <xdr:clientData/>
  </xdr:twoCellAnchor>
  <xdr:twoCellAnchor editAs="oneCell">
    <xdr:from>
      <xdr:col>0</xdr:col>
      <xdr:colOff>220980</xdr:colOff>
      <xdr:row>19</xdr:row>
      <xdr:rowOff>76200</xdr:rowOff>
    </xdr:from>
    <xdr:to>
      <xdr:col>7</xdr:col>
      <xdr:colOff>137160</xdr:colOff>
      <xdr:row>34</xdr:row>
      <xdr:rowOff>38100</xdr:rowOff>
    </xdr:to>
    <xdr:pic>
      <xdr:nvPicPr>
        <xdr:cNvPr id="1053" name="Picture 1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3291840"/>
          <a:ext cx="4373880" cy="247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794385</xdr:colOff>
      <xdr:row>0</xdr:row>
      <xdr:rowOff>131445</xdr:rowOff>
    </xdr:from>
    <xdr:to>
      <xdr:col>3</xdr:col>
      <xdr:colOff>632460</xdr:colOff>
      <xdr:row>2</xdr:row>
      <xdr:rowOff>133474</xdr:rowOff>
    </xdr:to>
    <xdr:sp macro="" textlink="">
      <xdr:nvSpPr>
        <xdr:cNvPr id="2049" name="Text 1"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>
          <a:spLocks noChangeArrowheads="1"/>
        </xdr:cNvSpPr>
      </xdr:nvSpPr>
      <xdr:spPr bwMode="auto">
        <a:xfrm>
          <a:off x="771525" y="123825"/>
          <a:ext cx="2552700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Radford Hardware</a:t>
          </a:r>
        </a:p>
      </xdr:txBody>
    </xdr:sp>
    <xdr:clientData/>
  </xdr:twoCellAnchor>
  <xdr:twoCellAnchor>
    <xdr:from>
      <xdr:col>3</xdr:col>
      <xdr:colOff>643890</xdr:colOff>
      <xdr:row>3</xdr:row>
      <xdr:rowOff>160020</xdr:rowOff>
    </xdr:from>
    <xdr:to>
      <xdr:col>6</xdr:col>
      <xdr:colOff>643890</xdr:colOff>
      <xdr:row>8</xdr:row>
      <xdr:rowOff>19091</xdr:rowOff>
    </xdr:to>
    <xdr:sp macro="" textlink="">
      <xdr:nvSpPr>
        <xdr:cNvPr id="2056" name="Note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 txBox="1">
          <a:spLocks noChangeArrowheads="1"/>
        </xdr:cNvSpPr>
      </xdr:nvSpPr>
      <xdr:spPr bwMode="auto">
        <a:xfrm>
          <a:off x="3390900" y="638175"/>
          <a:ext cx="2114550" cy="6762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E16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B12:D12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B12:D12&gt;=B7:D7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B12:D12&lt;B8:D8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794385</xdr:colOff>
      <xdr:row>0</xdr:row>
      <xdr:rowOff>131445</xdr:rowOff>
    </xdr:from>
    <xdr:to>
      <xdr:col>3</xdr:col>
      <xdr:colOff>632460</xdr:colOff>
      <xdr:row>2</xdr:row>
      <xdr:rowOff>133474</xdr:rowOff>
    </xdr:to>
    <xdr:sp macro="" textlink="">
      <xdr:nvSpPr>
        <xdr:cNvPr id="2049" name="Text 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rrowheads="1"/>
        </xdr:cNvSpPr>
      </xdr:nvSpPr>
      <xdr:spPr bwMode="auto">
        <a:xfrm>
          <a:off x="771525" y="123825"/>
          <a:ext cx="2552700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Radford Hardware</a:t>
          </a:r>
        </a:p>
      </xdr:txBody>
    </xdr:sp>
    <xdr:clientData/>
  </xdr:twoCellAnchor>
  <xdr:twoCellAnchor>
    <xdr:from>
      <xdr:col>4</xdr:col>
      <xdr:colOff>28575</xdr:colOff>
      <xdr:row>4</xdr:row>
      <xdr:rowOff>0</xdr:rowOff>
    </xdr:from>
    <xdr:to>
      <xdr:col>7</xdr:col>
      <xdr:colOff>180975</xdr:colOff>
      <xdr:row>8</xdr:row>
      <xdr:rowOff>28575</xdr:rowOff>
    </xdr:to>
    <xdr:sp macro="" textlink="">
      <xdr:nvSpPr>
        <xdr:cNvPr id="2050" name="Note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 txBox="1">
          <a:spLocks noChangeArrowheads="1"/>
        </xdr:cNvSpPr>
      </xdr:nvSpPr>
      <xdr:spPr bwMode="auto">
        <a:xfrm>
          <a:off x="3495675" y="647700"/>
          <a:ext cx="2124075" cy="6762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E16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B12:D12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B12:D12&gt;=B7:D7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B12:D12&lt;B8:D8</a:t>
          </a:r>
        </a:p>
      </xdr:txBody>
    </xdr:sp>
    <xdr:clientData/>
  </xdr:twoCellAnchor>
  <xdr:twoCellAnchor editAs="oneCell">
    <xdr:from>
      <xdr:col>0</xdr:col>
      <xdr:colOff>76200</xdr:colOff>
      <xdr:row>18</xdr:row>
      <xdr:rowOff>68580</xdr:rowOff>
    </xdr:from>
    <xdr:to>
      <xdr:col>4</xdr:col>
      <xdr:colOff>647700</xdr:colOff>
      <xdr:row>33</xdr:row>
      <xdr:rowOff>30480</xdr:rowOff>
    </xdr:to>
    <xdr:pic>
      <xdr:nvPicPr>
        <xdr:cNvPr id="11291" name="Picture 7">
          <a:extLst>
            <a:ext uri="{FF2B5EF4-FFF2-40B4-BE49-F238E27FC236}">
              <a16:creationId xmlns:a16="http://schemas.microsoft.com/office/drawing/2014/main" id="{00000000-0008-0000-0200-00001B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3116580"/>
          <a:ext cx="4457700" cy="247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35</xdr:row>
      <xdr:rowOff>22860</xdr:rowOff>
    </xdr:from>
    <xdr:to>
      <xdr:col>8</xdr:col>
      <xdr:colOff>276225</xdr:colOff>
      <xdr:row>50</xdr:row>
      <xdr:rowOff>137160</xdr:rowOff>
    </xdr:to>
    <xdr:pic>
      <xdr:nvPicPr>
        <xdr:cNvPr id="11292" name="Picture 8">
          <a:extLst>
            <a:ext uri="{FF2B5EF4-FFF2-40B4-BE49-F238E27FC236}">
              <a16:creationId xmlns:a16="http://schemas.microsoft.com/office/drawing/2014/main" id="{00000000-0008-0000-0200-00001C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" t="11925" r="6641" b="41599"/>
        <a:stretch>
          <a:fillRect/>
        </a:stretch>
      </xdr:blipFill>
      <xdr:spPr bwMode="auto">
        <a:xfrm>
          <a:off x="0" y="5920740"/>
          <a:ext cx="6743700" cy="262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388620</xdr:colOff>
      <xdr:row>0</xdr:row>
      <xdr:rowOff>57150</xdr:rowOff>
    </xdr:from>
    <xdr:to>
      <xdr:col>4</xdr:col>
      <xdr:colOff>361959</xdr:colOff>
      <xdr:row>2</xdr:row>
      <xdr:rowOff>66675</xdr:rowOff>
    </xdr:to>
    <xdr:sp macro="" textlink="">
      <xdr:nvSpPr>
        <xdr:cNvPr id="3073" name="Text 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SpPr>
          <a:spLocks noChangeArrowheads="1"/>
        </xdr:cNvSpPr>
      </xdr:nvSpPr>
      <xdr:spPr bwMode="auto">
        <a:xfrm>
          <a:off x="1181100" y="57150"/>
          <a:ext cx="3048000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ZIP </a:t>
          </a:r>
        </a:p>
      </xdr:txBody>
    </xdr:sp>
    <xdr:clientData/>
  </xdr:twoCellAnchor>
  <xdr:twoCellAnchor>
    <xdr:from>
      <xdr:col>0</xdr:col>
      <xdr:colOff>746760</xdr:colOff>
      <xdr:row>33</xdr:row>
      <xdr:rowOff>22860</xdr:rowOff>
    </xdr:from>
    <xdr:to>
      <xdr:col>9</xdr:col>
      <xdr:colOff>243840</xdr:colOff>
      <xdr:row>58</xdr:row>
      <xdr:rowOff>160020</xdr:rowOff>
    </xdr:to>
    <xdr:graphicFrame macro="">
      <xdr:nvGraphicFramePr>
        <xdr:cNvPr id="3087" name="Chart 3">
          <a:extLst>
            <a:ext uri="{FF2B5EF4-FFF2-40B4-BE49-F238E27FC236}">
              <a16:creationId xmlns:a16="http://schemas.microsoft.com/office/drawing/2014/main" id="{00000000-0008-0000-03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16</xdr:row>
          <xdr:rowOff>31750</xdr:rowOff>
        </xdr:from>
        <xdr:to>
          <xdr:col>5</xdr:col>
          <xdr:colOff>469900</xdr:colOff>
          <xdr:row>27</xdr:row>
          <xdr:rowOff>57150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388620</xdr:colOff>
      <xdr:row>0</xdr:row>
      <xdr:rowOff>57150</xdr:rowOff>
    </xdr:from>
    <xdr:to>
      <xdr:col>4</xdr:col>
      <xdr:colOff>361958</xdr:colOff>
      <xdr:row>2</xdr:row>
      <xdr:rowOff>66675</xdr:rowOff>
    </xdr:to>
    <xdr:sp macro="" textlink="">
      <xdr:nvSpPr>
        <xdr:cNvPr id="4097" name="Text 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SpPr>
          <a:spLocks noChangeArrowheads="1"/>
        </xdr:cNvSpPr>
      </xdr:nvSpPr>
      <xdr:spPr bwMode="auto">
        <a:xfrm>
          <a:off x="1181100" y="57150"/>
          <a:ext cx="3657600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ZIP </a:t>
          </a:r>
        </a:p>
      </xdr:txBody>
    </xdr:sp>
    <xdr:clientData/>
  </xdr:twoCellAnchor>
  <xdr:twoCellAnchor>
    <xdr:from>
      <xdr:col>7</xdr:col>
      <xdr:colOff>320040</xdr:colOff>
      <xdr:row>26</xdr:row>
      <xdr:rowOff>7620</xdr:rowOff>
    </xdr:from>
    <xdr:to>
      <xdr:col>18</xdr:col>
      <xdr:colOff>182880</xdr:colOff>
      <xdr:row>46</xdr:row>
      <xdr:rowOff>129540</xdr:rowOff>
    </xdr:to>
    <xdr:graphicFrame macro="">
      <xdr:nvGraphicFramePr>
        <xdr:cNvPr id="4111" name="Chart 3">
          <a:extLst>
            <a:ext uri="{FF2B5EF4-FFF2-40B4-BE49-F238E27FC236}">
              <a16:creationId xmlns:a16="http://schemas.microsoft.com/office/drawing/2014/main" id="{00000000-0008-0000-0400-00000F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21</xdr:row>
          <xdr:rowOff>20440</xdr:rowOff>
        </xdr:from>
        <xdr:to>
          <xdr:col>5</xdr:col>
          <xdr:colOff>57150</xdr:colOff>
          <xdr:row>41</xdr:row>
          <xdr:rowOff>139699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H20"/>
  <sheetViews>
    <sheetView workbookViewId="0"/>
  </sheetViews>
  <sheetFormatPr defaultRowHeight="12.5" x14ac:dyDescent="0.25"/>
  <cols>
    <col min="2" max="2" width="12.7265625" customWidth="1"/>
    <col min="3" max="3" width="7.81640625" customWidth="1"/>
  </cols>
  <sheetData>
    <row r="3" spans="2:8" ht="13" x14ac:dyDescent="0.3">
      <c r="B3" s="12" t="s">
        <v>0</v>
      </c>
      <c r="C3" s="1"/>
      <c r="D3" s="6">
        <v>800</v>
      </c>
      <c r="E3" s="6">
        <v>500</v>
      </c>
      <c r="F3" s="6">
        <v>1500</v>
      </c>
    </row>
    <row r="4" spans="2:8" ht="13" x14ac:dyDescent="0.3">
      <c r="B4" s="11" t="s">
        <v>1</v>
      </c>
      <c r="D4" s="18">
        <v>34</v>
      </c>
      <c r="E4" s="18">
        <v>14</v>
      </c>
      <c r="F4" s="18">
        <v>32</v>
      </c>
    </row>
    <row r="5" spans="2:8" ht="13" x14ac:dyDescent="0.3">
      <c r="B5" s="11"/>
      <c r="D5" s="17"/>
      <c r="E5" s="17"/>
      <c r="F5" s="17"/>
    </row>
    <row r="6" spans="2:8" ht="13" x14ac:dyDescent="0.3">
      <c r="B6" s="12" t="s">
        <v>2</v>
      </c>
      <c r="C6" s="1"/>
      <c r="D6" s="13">
        <f>D3/D4</f>
        <v>23.529411764705884</v>
      </c>
      <c r="E6" s="13">
        <f>E3/E4</f>
        <v>35.714285714285715</v>
      </c>
      <c r="F6" s="13">
        <f>F3/F4</f>
        <v>46.875</v>
      </c>
    </row>
    <row r="7" spans="2:8" ht="13" x14ac:dyDescent="0.3">
      <c r="B7" s="12" t="s">
        <v>3</v>
      </c>
      <c r="C7" s="1"/>
      <c r="D7" s="16">
        <f>365/D6</f>
        <v>15.512499999999999</v>
      </c>
      <c r="E7" s="16">
        <f>365/E6</f>
        <v>10.219999999999999</v>
      </c>
      <c r="F7" s="16">
        <f>365/F6</f>
        <v>7.7866666666666671</v>
      </c>
    </row>
    <row r="8" spans="2:8" ht="13" x14ac:dyDescent="0.3">
      <c r="B8" s="11"/>
      <c r="G8" s="10" t="s">
        <v>4</v>
      </c>
      <c r="H8" s="10" t="s">
        <v>5</v>
      </c>
    </row>
    <row r="9" spans="2:8" ht="13" x14ac:dyDescent="0.3">
      <c r="B9" s="12" t="s">
        <v>6</v>
      </c>
      <c r="C9" s="1"/>
      <c r="D9" s="7">
        <v>300</v>
      </c>
      <c r="E9" s="7">
        <v>1100</v>
      </c>
      <c r="F9" s="7">
        <v>600</v>
      </c>
      <c r="G9" s="19">
        <f>SUMPRODUCT(D9:F9,$D$4:$F$4)</f>
        <v>44800</v>
      </c>
      <c r="H9" s="7">
        <v>45000</v>
      </c>
    </row>
    <row r="10" spans="2:8" ht="13" x14ac:dyDescent="0.3">
      <c r="B10" s="12" t="s">
        <v>7</v>
      </c>
      <c r="C10" s="3"/>
      <c r="D10" s="10">
        <v>9</v>
      </c>
      <c r="E10" s="10">
        <v>25</v>
      </c>
      <c r="F10" s="10">
        <v>16</v>
      </c>
      <c r="G10" s="20">
        <f>SUMPRODUCT(D10:F10,$D$4:$F$4)</f>
        <v>1168</v>
      </c>
      <c r="H10" s="10">
        <v>3000</v>
      </c>
    </row>
    <row r="11" spans="2:8" ht="13" x14ac:dyDescent="0.3">
      <c r="B11" s="11"/>
    </row>
    <row r="12" spans="2:8" ht="13" x14ac:dyDescent="0.3">
      <c r="B12" s="12"/>
      <c r="C12" s="1"/>
      <c r="D12" s="5"/>
      <c r="E12" s="5"/>
      <c r="F12" s="5"/>
      <c r="G12" s="10" t="s">
        <v>4</v>
      </c>
    </row>
    <row r="13" spans="2:8" ht="13" x14ac:dyDescent="0.3">
      <c r="B13" s="12" t="s">
        <v>8</v>
      </c>
      <c r="C13" s="1"/>
      <c r="D13" s="7">
        <v>60</v>
      </c>
      <c r="E13" s="7">
        <v>60</v>
      </c>
      <c r="F13" s="7">
        <v>60</v>
      </c>
      <c r="G13" s="8">
        <f>SUMPRODUCT(D13:F13,D6:F6)</f>
        <v>6367.1218487394963</v>
      </c>
    </row>
    <row r="14" spans="2:8" ht="13.5" thickBot="1" x14ac:dyDescent="0.35">
      <c r="B14" s="12" t="s">
        <v>35</v>
      </c>
      <c r="C14" s="9">
        <v>0.25</v>
      </c>
      <c r="D14" s="8">
        <f>$C$14*D9</f>
        <v>75</v>
      </c>
      <c r="E14" s="8">
        <f>$C$14*E9</f>
        <v>275</v>
      </c>
      <c r="F14" s="8">
        <f>$C$14*F9</f>
        <v>150</v>
      </c>
      <c r="G14" s="8">
        <f>SUMPRODUCT(D4:F4,D14:F14)/2</f>
        <v>5600</v>
      </c>
    </row>
    <row r="15" spans="2:8" ht="14" thickTop="1" thickBot="1" x14ac:dyDescent="0.35">
      <c r="B15" s="2"/>
      <c r="C15" s="3"/>
      <c r="D15" s="4"/>
      <c r="E15" s="4"/>
      <c r="F15" s="4"/>
      <c r="G15" s="21">
        <f>SUM(G13:G14)</f>
        <v>11967.121848739496</v>
      </c>
    </row>
    <row r="16" spans="2:8" ht="13" thickTop="1" x14ac:dyDescent="0.25"/>
    <row r="17" spans="4:5" ht="13" x14ac:dyDescent="0.3">
      <c r="E17" s="14"/>
    </row>
    <row r="18" spans="4:5" ht="13" x14ac:dyDescent="0.3">
      <c r="E18" s="15"/>
    </row>
    <row r="20" spans="4:5" x14ac:dyDescent="0.25">
      <c r="D20" s="4"/>
    </row>
  </sheetData>
  <phoneticPr fontId="10" type="noConversion"/>
  <printOptions headings="1"/>
  <pageMargins left="0.74803149606299213" right="0.74803149606299213" top="0.78740157480314965" bottom="0.78740157480314965" header="0.51181102362204722" footer="0.51181102362204722"/>
  <pageSetup orientation="portrait" r:id="rId1"/>
  <headerFooter alignWithMargins="0">
    <oddHeader>&amp;L&amp;F&amp;C&amp;A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E19"/>
  <sheetViews>
    <sheetView workbookViewId="0"/>
  </sheetViews>
  <sheetFormatPr defaultRowHeight="12.5" x14ac:dyDescent="0.25"/>
  <cols>
    <col min="1" max="1" width="23.81640625" customWidth="1"/>
    <col min="2" max="2" width="10.7265625" customWidth="1"/>
    <col min="3" max="3" width="9.7265625" customWidth="1"/>
    <col min="4" max="4" width="11.26953125" style="25" customWidth="1"/>
    <col min="5" max="5" width="11.26953125" customWidth="1"/>
    <col min="7" max="7" width="10.26953125" customWidth="1"/>
  </cols>
  <sheetData>
    <row r="4" spans="1:4" x14ac:dyDescent="0.25">
      <c r="D4"/>
    </row>
    <row r="5" spans="1:4" ht="13" x14ac:dyDescent="0.3">
      <c r="A5" s="11" t="s">
        <v>9</v>
      </c>
      <c r="B5" s="6">
        <v>1500</v>
      </c>
      <c r="C5" s="6">
        <v>1500</v>
      </c>
      <c r="D5" s="6">
        <v>1500</v>
      </c>
    </row>
    <row r="6" spans="1:4" ht="13" x14ac:dyDescent="0.3">
      <c r="A6" s="11" t="s">
        <v>10</v>
      </c>
      <c r="B6" s="22">
        <v>35</v>
      </c>
      <c r="C6" s="22">
        <v>33</v>
      </c>
      <c r="D6" s="22">
        <v>31</v>
      </c>
    </row>
    <row r="7" spans="1:4" ht="13" x14ac:dyDescent="0.3">
      <c r="A7" s="11" t="s">
        <v>11</v>
      </c>
      <c r="B7" s="23">
        <v>1</v>
      </c>
      <c r="C7" s="23">
        <v>500</v>
      </c>
      <c r="D7" s="23">
        <v>1000</v>
      </c>
    </row>
    <row r="8" spans="1:4" ht="13" x14ac:dyDescent="0.3">
      <c r="A8" s="11" t="s">
        <v>12</v>
      </c>
      <c r="B8" s="23">
        <v>499</v>
      </c>
      <c r="C8" s="23">
        <v>999</v>
      </c>
      <c r="D8" s="23">
        <f>D5</f>
        <v>1500</v>
      </c>
    </row>
    <row r="9" spans="1:4" ht="13" x14ac:dyDescent="0.3">
      <c r="A9" s="11" t="s">
        <v>8</v>
      </c>
      <c r="B9" s="22">
        <v>20</v>
      </c>
      <c r="C9" s="22">
        <v>20</v>
      </c>
      <c r="D9" s="22">
        <v>20</v>
      </c>
    </row>
    <row r="10" spans="1:4" ht="13" x14ac:dyDescent="0.3">
      <c r="A10" s="11" t="s">
        <v>36</v>
      </c>
      <c r="B10" s="24">
        <v>0.15</v>
      </c>
      <c r="C10" s="24">
        <v>0.15</v>
      </c>
      <c r="D10" s="24">
        <v>0.15</v>
      </c>
    </row>
    <row r="11" spans="1:4" x14ac:dyDescent="0.25">
      <c r="B11" s="25"/>
      <c r="C11" s="25"/>
    </row>
    <row r="12" spans="1:4" ht="13" x14ac:dyDescent="0.3">
      <c r="A12" s="11" t="s">
        <v>1</v>
      </c>
      <c r="B12" s="18">
        <v>106.904497437957</v>
      </c>
      <c r="C12" s="18">
        <v>500</v>
      </c>
      <c r="D12" s="18">
        <v>1000</v>
      </c>
    </row>
    <row r="13" spans="1:4" ht="13" x14ac:dyDescent="0.3">
      <c r="A13" s="11"/>
      <c r="B13" s="25"/>
      <c r="C13" s="25"/>
    </row>
    <row r="14" spans="1:4" ht="13" x14ac:dyDescent="0.3">
      <c r="A14" s="11" t="s">
        <v>14</v>
      </c>
      <c r="B14" s="26">
        <f>B6*B5</f>
        <v>52500</v>
      </c>
      <c r="C14" s="26">
        <f>C6*C5</f>
        <v>49500</v>
      </c>
      <c r="D14" s="26">
        <f>D6*D5</f>
        <v>46500</v>
      </c>
    </row>
    <row r="15" spans="1:4" ht="13" x14ac:dyDescent="0.3">
      <c r="A15" s="11" t="s">
        <v>15</v>
      </c>
      <c r="B15" s="26">
        <f>B5/B12*B9</f>
        <v>280.62430224145407</v>
      </c>
      <c r="C15" s="26">
        <f>C5/C12*C9</f>
        <v>60</v>
      </c>
      <c r="D15" s="26">
        <f>D5/D12*D9</f>
        <v>30</v>
      </c>
    </row>
    <row r="16" spans="1:4" ht="13.5" thickBot="1" x14ac:dyDescent="0.35">
      <c r="A16" s="11" t="s">
        <v>13</v>
      </c>
      <c r="B16" s="26">
        <f>B12/2*(B10*B6)</f>
        <v>280.62430577463715</v>
      </c>
      <c r="C16" s="26">
        <f>C12/2*(C10*C9)</f>
        <v>750</v>
      </c>
      <c r="D16" s="26">
        <f>D12/2*(D10*D9)</f>
        <v>1500</v>
      </c>
    </row>
    <row r="17" spans="1:5" ht="14" thickTop="1" thickBot="1" x14ac:dyDescent="0.35">
      <c r="A17" s="11" t="s">
        <v>16</v>
      </c>
      <c r="B17" s="27">
        <f>SUM(B14:B16)</f>
        <v>53061.248608016096</v>
      </c>
      <c r="C17" s="27">
        <f>SUM(C14:C16)</f>
        <v>50310</v>
      </c>
      <c r="D17" s="27">
        <f>SUM(D14:D16)</f>
        <v>48030</v>
      </c>
      <c r="E17" s="28">
        <f>SUM(B17:D17)</f>
        <v>151401.24860801609</v>
      </c>
    </row>
    <row r="18" spans="1:5" ht="13.5" thickTop="1" x14ac:dyDescent="0.3">
      <c r="B18" s="29" t="str">
        <f>IF(B17=MIN($B$17:$D$17),"^optimal^","")</f>
        <v/>
      </c>
      <c r="C18" s="29" t="str">
        <f>IF(C17=MIN($B$17:$D$17),"^optimal^","")</f>
        <v/>
      </c>
      <c r="D18" s="29" t="str">
        <f>IF(D17=MIN($B$17:$D$17),"^optimal^","")</f>
        <v>^optimal^</v>
      </c>
    </row>
    <row r="19" spans="1:5" x14ac:dyDescent="0.25">
      <c r="D19"/>
    </row>
  </sheetData>
  <phoneticPr fontId="10" type="noConversion"/>
  <printOptions headings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&amp;L&amp;F&amp;C&amp;A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4:E19"/>
  <sheetViews>
    <sheetView workbookViewId="0"/>
  </sheetViews>
  <sheetFormatPr defaultRowHeight="12.5" x14ac:dyDescent="0.25"/>
  <cols>
    <col min="1" max="1" width="24.7265625" customWidth="1"/>
    <col min="2" max="2" width="10.7265625" customWidth="1"/>
    <col min="3" max="3" width="9.7265625" customWidth="1"/>
    <col min="4" max="4" width="11.26953125" style="25" customWidth="1"/>
    <col min="5" max="5" width="11.26953125" customWidth="1"/>
  </cols>
  <sheetData>
    <row r="4" spans="1:4" x14ac:dyDescent="0.25">
      <c r="D4"/>
    </row>
    <row r="5" spans="1:4" ht="13" x14ac:dyDescent="0.3">
      <c r="A5" s="11" t="s">
        <v>9</v>
      </c>
      <c r="B5" s="6">
        <v>1500</v>
      </c>
      <c r="C5" s="6">
        <v>1500</v>
      </c>
      <c r="D5" s="6">
        <v>1500</v>
      </c>
    </row>
    <row r="6" spans="1:4" ht="13" x14ac:dyDescent="0.3">
      <c r="A6" s="11" t="s">
        <v>10</v>
      </c>
      <c r="B6" s="22">
        <v>35</v>
      </c>
      <c r="C6" s="22">
        <v>33</v>
      </c>
      <c r="D6" s="22">
        <v>31</v>
      </c>
    </row>
    <row r="7" spans="1:4" ht="13" x14ac:dyDescent="0.3">
      <c r="A7" s="11" t="s">
        <v>11</v>
      </c>
      <c r="B7" s="23">
        <v>0</v>
      </c>
      <c r="C7" s="23">
        <v>500</v>
      </c>
      <c r="D7" s="23">
        <v>1000</v>
      </c>
    </row>
    <row r="8" spans="1:4" ht="13" x14ac:dyDescent="0.3">
      <c r="A8" s="11" t="s">
        <v>12</v>
      </c>
      <c r="B8" s="23">
        <v>499</v>
      </c>
      <c r="C8" s="23">
        <v>999</v>
      </c>
      <c r="D8" s="23">
        <f>D5</f>
        <v>1500</v>
      </c>
    </row>
    <row r="9" spans="1:4" ht="13" x14ac:dyDescent="0.3">
      <c r="A9" s="11" t="s">
        <v>8</v>
      </c>
      <c r="B9" s="22">
        <v>20</v>
      </c>
      <c r="C9" s="22">
        <v>20</v>
      </c>
      <c r="D9" s="22">
        <v>20</v>
      </c>
    </row>
    <row r="10" spans="1:4" ht="13" x14ac:dyDescent="0.3">
      <c r="A10" s="11" t="s">
        <v>36</v>
      </c>
      <c r="B10" s="24">
        <v>0.15</v>
      </c>
      <c r="C10" s="24">
        <v>0.15</v>
      </c>
      <c r="D10" s="24">
        <v>0.15</v>
      </c>
    </row>
    <row r="11" spans="1:4" x14ac:dyDescent="0.25">
      <c r="B11" s="25"/>
      <c r="C11" s="25"/>
    </row>
    <row r="12" spans="1:4" ht="13" x14ac:dyDescent="0.3">
      <c r="A12" s="11" t="s">
        <v>1</v>
      </c>
      <c r="B12" s="39">
        <v>106.90434740669453</v>
      </c>
      <c r="C12" s="39">
        <v>785.47403048286151</v>
      </c>
      <c r="D12" s="39">
        <v>1394.9204052275361</v>
      </c>
    </row>
    <row r="13" spans="1:4" ht="13" x14ac:dyDescent="0.3">
      <c r="A13" s="11"/>
      <c r="B13" s="25"/>
      <c r="C13" s="25"/>
    </row>
    <row r="14" spans="1:4" ht="13" x14ac:dyDescent="0.3">
      <c r="A14" s="11" t="s">
        <v>14</v>
      </c>
      <c r="B14" s="26">
        <f>B6*B5</f>
        <v>52500</v>
      </c>
      <c r="C14" s="26">
        <f>C5/C12*(B8*B6+(C12-B8)*C6)</f>
        <v>51405.85549859584</v>
      </c>
      <c r="D14" s="26">
        <f>D5/D12*(B6*B8+(C8-B8)*C6+(D12-C8)*D6)</f>
        <v>49721.689196859188</v>
      </c>
    </row>
    <row r="15" spans="1:4" ht="13" x14ac:dyDescent="0.3">
      <c r="A15" s="11" t="s">
        <v>15</v>
      </c>
      <c r="B15" s="26">
        <f>B5/B12*B9</f>
        <v>280.62469607406581</v>
      </c>
      <c r="C15" s="26">
        <f>C5/C12*C9</f>
        <v>38.193496965848546</v>
      </c>
      <c r="D15" s="26">
        <f>D5/D12*D9</f>
        <v>21.506603450328384</v>
      </c>
    </row>
    <row r="16" spans="1:4" ht="13.5" thickBot="1" x14ac:dyDescent="0.35">
      <c r="A16" s="11" t="s">
        <v>13</v>
      </c>
      <c r="B16" s="26">
        <f>B14/(B5/B12)/2*B10</f>
        <v>280.6239119425731</v>
      </c>
      <c r="C16" s="26">
        <f>C14/(C5/C12)/2*C10</f>
        <v>2018.8982254450821</v>
      </c>
      <c r="D16" s="26">
        <f>D14/(D5/D12)/2*D10</f>
        <v>3467.8899421540214</v>
      </c>
    </row>
    <row r="17" spans="1:5" ht="14" thickTop="1" thickBot="1" x14ac:dyDescent="0.35">
      <c r="A17" s="11" t="s">
        <v>16</v>
      </c>
      <c r="B17" s="27">
        <f>SUM(B14:B16)</f>
        <v>53061.248608016642</v>
      </c>
      <c r="C17" s="27">
        <f>SUM(C14:C16)</f>
        <v>53462.947221006769</v>
      </c>
      <c r="D17" s="27">
        <f>SUM(D14:D16)</f>
        <v>53211.085742463532</v>
      </c>
      <c r="E17" s="28">
        <f>SUM(B17:D17)</f>
        <v>159735.28157148694</v>
      </c>
    </row>
    <row r="18" spans="1:5" ht="13.5" thickTop="1" x14ac:dyDescent="0.3">
      <c r="B18" s="40" t="str">
        <f>IF(B17=MIN($B$17:$D$17),"^optimal^","")</f>
        <v>^optimal^</v>
      </c>
      <c r="C18" s="40" t="str">
        <f>IF(C17=MIN($B$17:$D$17),"^optimal^","")</f>
        <v/>
      </c>
      <c r="D18" s="40" t="str">
        <f>IF(D17=MIN($B$17:$D$17),"^optimal^","")</f>
        <v/>
      </c>
    </row>
    <row r="19" spans="1:5" x14ac:dyDescent="0.25">
      <c r="D19"/>
    </row>
  </sheetData>
  <phoneticPr fontId="10" type="noConversion"/>
  <printOptions headings="1"/>
  <pageMargins left="0.35433070866141736" right="0.35433070866141736" top="0.98425196850393704" bottom="0.98425196850393704" header="0.51181102362204722" footer="0.51181102362204722"/>
  <pageSetup paperSize="9" scale="95" orientation="portrait" r:id="rId1"/>
  <headerFooter alignWithMargins="0">
    <oddHeader>&amp;L&amp;F&amp;C&amp;A</oddHead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3:L42"/>
  <sheetViews>
    <sheetView workbookViewId="0">
      <selection activeCell="H15" sqref="H15"/>
    </sheetView>
  </sheetViews>
  <sheetFormatPr defaultRowHeight="12.5" x14ac:dyDescent="0.25"/>
  <cols>
    <col min="1" max="1" width="12" customWidth="1"/>
    <col min="2" max="2" width="10.7265625" customWidth="1"/>
    <col min="3" max="3" width="25.54296875" customWidth="1"/>
    <col min="4" max="4" width="9.7265625" style="25" customWidth="1"/>
    <col min="9" max="9" width="9.54296875" bestFit="1" customWidth="1"/>
    <col min="10" max="10" width="16.453125" bestFit="1" customWidth="1"/>
    <col min="11" max="11" width="9.453125" bestFit="1" customWidth="1"/>
  </cols>
  <sheetData>
    <row r="3" spans="3:12" ht="13" thickBot="1" x14ac:dyDescent="0.3">
      <c r="G3" s="50"/>
      <c r="H3" s="49" t="s">
        <v>34</v>
      </c>
      <c r="I3" s="46">
        <f>D10</f>
        <v>2309.4010767585028</v>
      </c>
      <c r="J3" s="47">
        <f>D11</f>
        <v>43.301270189221938</v>
      </c>
      <c r="K3" s="48">
        <f>D15</f>
        <v>17320.508075688773</v>
      </c>
      <c r="L3" s="31"/>
    </row>
    <row r="4" spans="3:12" ht="13" x14ac:dyDescent="0.3">
      <c r="C4" s="11" t="s">
        <v>17</v>
      </c>
      <c r="D4" s="32">
        <v>100000</v>
      </c>
      <c r="H4" s="44">
        <v>10000</v>
      </c>
      <c r="I4" s="30">
        <f t="dataTable" ref="I4:K33" dt2D="0" dtr="0" r1="D4"/>
        <v>730.2967433402215</v>
      </c>
      <c r="J4" s="30">
        <v>13.693063937629153</v>
      </c>
      <c r="K4" s="30">
        <v>5477.2255750516606</v>
      </c>
    </row>
    <row r="5" spans="3:12" ht="13" x14ac:dyDescent="0.3">
      <c r="C5" s="11" t="s">
        <v>18</v>
      </c>
      <c r="D5" s="33">
        <v>50</v>
      </c>
      <c r="H5" s="44">
        <v>20000</v>
      </c>
      <c r="I5" s="30">
        <v>1032.7955589886446</v>
      </c>
      <c r="J5" s="30">
        <v>19.364916731037081</v>
      </c>
      <c r="K5" s="30">
        <v>7745.9666924148332</v>
      </c>
    </row>
    <row r="6" spans="3:12" ht="13" x14ac:dyDescent="0.3">
      <c r="C6" s="11" t="s">
        <v>19</v>
      </c>
      <c r="D6" s="33">
        <v>200</v>
      </c>
      <c r="H6" s="44">
        <v>30000</v>
      </c>
      <c r="I6" s="30">
        <v>1264.9110640673518</v>
      </c>
      <c r="J6" s="30">
        <v>23.717082451262844</v>
      </c>
      <c r="K6" s="30">
        <v>9486.832980505138</v>
      </c>
    </row>
    <row r="7" spans="3:12" ht="13" x14ac:dyDescent="0.3">
      <c r="C7" s="11" t="s">
        <v>20</v>
      </c>
      <c r="D7" s="34">
        <v>0.15</v>
      </c>
      <c r="H7" s="44">
        <v>40000</v>
      </c>
      <c r="I7" s="30">
        <v>1460.593486680443</v>
      </c>
      <c r="J7" s="30">
        <v>27.386127875258307</v>
      </c>
      <c r="K7" s="30">
        <v>10954.451150103321</v>
      </c>
    </row>
    <row r="8" spans="3:12" x14ac:dyDescent="0.25">
      <c r="H8" s="44">
        <v>50000</v>
      </c>
      <c r="I8" s="30">
        <v>1632.9931618554519</v>
      </c>
      <c r="J8" s="30">
        <v>30.618621784789728</v>
      </c>
      <c r="K8" s="30">
        <v>12247.448713915892</v>
      </c>
    </row>
    <row r="9" spans="3:12" x14ac:dyDescent="0.25">
      <c r="H9" s="44">
        <v>60000</v>
      </c>
      <c r="I9" s="30">
        <v>1788.8543819998317</v>
      </c>
      <c r="J9" s="30">
        <v>33.541019662496844</v>
      </c>
      <c r="K9" s="30">
        <v>13416.407864998739</v>
      </c>
    </row>
    <row r="10" spans="3:12" ht="13" x14ac:dyDescent="0.3">
      <c r="C10" s="35" t="s">
        <v>21</v>
      </c>
      <c r="D10" s="36">
        <f>SQRT(2*D4*D6/(D5*D7))</f>
        <v>2309.4010767585028</v>
      </c>
      <c r="H10" s="44">
        <v>70000</v>
      </c>
      <c r="I10" s="30">
        <v>1932.1835661585919</v>
      </c>
      <c r="J10" s="30">
        <v>36.228441865473592</v>
      </c>
      <c r="K10" s="30">
        <v>14491.376746189439</v>
      </c>
    </row>
    <row r="11" spans="3:12" ht="13" x14ac:dyDescent="0.3">
      <c r="C11" s="35" t="s">
        <v>22</v>
      </c>
      <c r="D11" s="37">
        <f>$D$4/D10</f>
        <v>43.301270189221938</v>
      </c>
      <c r="H11" s="44">
        <v>80000</v>
      </c>
      <c r="I11" s="30">
        <v>2065.5911179772893</v>
      </c>
      <c r="J11" s="30">
        <v>38.729833462074161</v>
      </c>
      <c r="K11" s="30">
        <v>15491.933384829666</v>
      </c>
    </row>
    <row r="12" spans="3:12" ht="13" x14ac:dyDescent="0.3">
      <c r="C12" s="35" t="s">
        <v>23</v>
      </c>
      <c r="D12" s="37">
        <f>(D10/D4)*365</f>
        <v>8.4293139301685347</v>
      </c>
      <c r="H12" s="44">
        <v>90000</v>
      </c>
      <c r="I12" s="30">
        <v>2190.8902300206646</v>
      </c>
      <c r="J12" s="30">
        <v>41.079191812887458</v>
      </c>
      <c r="K12" s="30">
        <v>16431.676725154983</v>
      </c>
    </row>
    <row r="13" spans="3:12" ht="13" x14ac:dyDescent="0.3">
      <c r="C13" s="35" t="s">
        <v>24</v>
      </c>
      <c r="D13" s="37">
        <f>(D4*D6)/D10</f>
        <v>8660.2540378443882</v>
      </c>
      <c r="H13" s="44">
        <v>100000</v>
      </c>
      <c r="I13" s="30">
        <v>2309.4010767585028</v>
      </c>
      <c r="J13" s="30">
        <v>43.301270189221938</v>
      </c>
      <c r="K13" s="30">
        <v>17320.508075688773</v>
      </c>
    </row>
    <row r="14" spans="3:12" ht="13" x14ac:dyDescent="0.3">
      <c r="C14" s="35" t="s">
        <v>37</v>
      </c>
      <c r="D14" s="37">
        <f>(D10*D5*D7)/2</f>
        <v>8660.2540378443846</v>
      </c>
      <c r="H14" s="44">
        <v>110000</v>
      </c>
      <c r="I14" s="30">
        <v>2422.1202832779936</v>
      </c>
      <c r="J14" s="30">
        <v>45.414755311462372</v>
      </c>
      <c r="K14" s="30">
        <v>18165.902124584951</v>
      </c>
    </row>
    <row r="15" spans="3:12" ht="13" x14ac:dyDescent="0.3">
      <c r="C15" s="35" t="s">
        <v>25</v>
      </c>
      <c r="D15" s="37">
        <f>SUM(D13:D14)</f>
        <v>17320.508075688773</v>
      </c>
      <c r="H15" s="44">
        <v>120000</v>
      </c>
      <c r="I15" s="30">
        <v>2529.8221281347037</v>
      </c>
      <c r="J15" s="30">
        <v>47.434164902525687</v>
      </c>
      <c r="K15" s="30">
        <v>18973.665961010276</v>
      </c>
    </row>
    <row r="16" spans="3:12" x14ac:dyDescent="0.25">
      <c r="H16" s="44">
        <v>130000</v>
      </c>
      <c r="I16" s="30">
        <v>2633.1223544175332</v>
      </c>
      <c r="J16" s="30">
        <v>49.371044145328746</v>
      </c>
      <c r="K16" s="30">
        <v>19748.417658131497</v>
      </c>
    </row>
    <row r="17" spans="8:11" x14ac:dyDescent="0.25">
      <c r="H17" s="44">
        <v>140000</v>
      </c>
      <c r="I17" s="30">
        <v>2732.5202042558931</v>
      </c>
      <c r="J17" s="30">
        <v>51.234753829797988</v>
      </c>
      <c r="K17" s="30">
        <v>20493.901531919197</v>
      </c>
    </row>
    <row r="18" spans="8:11" x14ac:dyDescent="0.25">
      <c r="H18" s="44">
        <v>150000</v>
      </c>
      <c r="I18" s="30">
        <v>2828.4271247461902</v>
      </c>
      <c r="J18" s="30">
        <v>53.033008588991059</v>
      </c>
      <c r="K18" s="30">
        <v>21213.203435596428</v>
      </c>
    </row>
    <row r="19" spans="8:11" x14ac:dyDescent="0.25">
      <c r="H19" s="44">
        <v>160000</v>
      </c>
      <c r="I19" s="30">
        <v>2921.186973360886</v>
      </c>
      <c r="J19" s="30">
        <v>54.772255750516614</v>
      </c>
      <c r="K19" s="30">
        <v>21908.902300206642</v>
      </c>
    </row>
    <row r="20" spans="8:11" x14ac:dyDescent="0.25">
      <c r="H20" s="44">
        <v>170000</v>
      </c>
      <c r="I20" s="30">
        <v>3011.0906108363238</v>
      </c>
      <c r="J20" s="30">
        <v>56.457948953181081</v>
      </c>
      <c r="K20" s="30">
        <v>22583.17958127243</v>
      </c>
    </row>
    <row r="21" spans="8:11" x14ac:dyDescent="0.25">
      <c r="H21" s="44">
        <v>180000</v>
      </c>
      <c r="I21" s="30">
        <v>3098.3866769659335</v>
      </c>
      <c r="J21" s="30">
        <v>58.094750193111253</v>
      </c>
      <c r="K21" s="30">
        <v>23237.9000772445</v>
      </c>
    </row>
    <row r="22" spans="8:11" x14ac:dyDescent="0.25">
      <c r="H22" s="44">
        <v>190000</v>
      </c>
      <c r="I22" s="30">
        <v>3183.2897030168861</v>
      </c>
      <c r="J22" s="30">
        <v>59.686681931566604</v>
      </c>
      <c r="K22" s="30">
        <v>23874.672772626644</v>
      </c>
    </row>
    <row r="23" spans="8:11" x14ac:dyDescent="0.25">
      <c r="H23" s="44">
        <v>200000</v>
      </c>
      <c r="I23" s="30">
        <v>3265.9863237109039</v>
      </c>
      <c r="J23" s="30">
        <v>61.237243569579455</v>
      </c>
      <c r="K23" s="30">
        <v>24494.897427831784</v>
      </c>
    </row>
    <row r="24" spans="8:11" x14ac:dyDescent="0.25">
      <c r="H24" s="44">
        <v>210000</v>
      </c>
      <c r="I24" s="30">
        <v>3346.6401061363022</v>
      </c>
      <c r="J24" s="30">
        <v>62.74950199005567</v>
      </c>
      <c r="K24" s="30">
        <v>25099.800796022268</v>
      </c>
    </row>
    <row r="25" spans="8:11" x14ac:dyDescent="0.25">
      <c r="H25" s="44">
        <v>220000</v>
      </c>
      <c r="I25" s="30">
        <v>3425.3953543107014</v>
      </c>
      <c r="J25" s="30">
        <v>64.226162893325636</v>
      </c>
      <c r="K25" s="30">
        <v>25690.465157330254</v>
      </c>
    </row>
    <row r="26" spans="8:11" x14ac:dyDescent="0.25">
      <c r="H26" s="44">
        <v>230000</v>
      </c>
      <c r="I26" s="30">
        <v>3502.3801430836525</v>
      </c>
      <c r="J26" s="30">
        <v>65.669627682818486</v>
      </c>
      <c r="K26" s="30">
        <v>26267.851073127393</v>
      </c>
    </row>
    <row r="27" spans="8:11" x14ac:dyDescent="0.25">
      <c r="H27" s="44">
        <v>240000</v>
      </c>
      <c r="I27" s="30">
        <v>3577.7087639996635</v>
      </c>
      <c r="J27" s="30">
        <v>67.082039324993687</v>
      </c>
      <c r="K27" s="30">
        <v>26832.815729997477</v>
      </c>
    </row>
    <row r="28" spans="8:11" x14ac:dyDescent="0.25">
      <c r="H28" s="44">
        <v>250000</v>
      </c>
      <c r="I28" s="30">
        <v>3651.4837167011074</v>
      </c>
      <c r="J28" s="30">
        <v>68.465319688145769</v>
      </c>
      <c r="K28" s="30">
        <v>27386.127875258306</v>
      </c>
    </row>
    <row r="29" spans="8:11" x14ac:dyDescent="0.25">
      <c r="H29" s="44">
        <v>260000</v>
      </c>
      <c r="I29" s="30">
        <v>3723.7973450050508</v>
      </c>
      <c r="J29" s="30">
        <v>69.821200218844709</v>
      </c>
      <c r="K29" s="30">
        <v>27928.480087537882</v>
      </c>
    </row>
    <row r="30" spans="8:11" x14ac:dyDescent="0.25">
      <c r="H30" s="44">
        <v>270000</v>
      </c>
      <c r="I30" s="30">
        <v>3794.7331922020553</v>
      </c>
      <c r="J30" s="30">
        <v>71.151247353788534</v>
      </c>
      <c r="K30" s="30">
        <v>28460.498941515412</v>
      </c>
    </row>
    <row r="31" spans="8:11" x14ac:dyDescent="0.25">
      <c r="H31" s="44">
        <v>280000</v>
      </c>
      <c r="I31" s="30">
        <v>3864.3671323171839</v>
      </c>
      <c r="J31" s="30">
        <v>72.456883730947183</v>
      </c>
      <c r="K31" s="30">
        <v>28982.753492378877</v>
      </c>
    </row>
    <row r="32" spans="8:11" x14ac:dyDescent="0.25">
      <c r="H32" s="44">
        <v>290000</v>
      </c>
      <c r="I32" s="30">
        <v>3932.7683210007003</v>
      </c>
      <c r="J32" s="30">
        <v>73.739406018763134</v>
      </c>
      <c r="K32" s="30">
        <v>29495.762407505252</v>
      </c>
    </row>
    <row r="33" spans="8:11" x14ac:dyDescent="0.25">
      <c r="H33" s="44">
        <v>300000</v>
      </c>
      <c r="I33" s="30">
        <v>4000</v>
      </c>
      <c r="J33" s="30">
        <v>75</v>
      </c>
      <c r="K33" s="30">
        <v>30000</v>
      </c>
    </row>
    <row r="34" spans="8:11" x14ac:dyDescent="0.25">
      <c r="I34" s="30"/>
      <c r="J34" s="30"/>
      <c r="K34" s="30"/>
    </row>
    <row r="35" spans="8:11" x14ac:dyDescent="0.25">
      <c r="I35" s="30"/>
      <c r="J35" s="30"/>
      <c r="K35" s="30"/>
    </row>
    <row r="36" spans="8:11" x14ac:dyDescent="0.25">
      <c r="I36" s="30"/>
      <c r="J36" s="30"/>
      <c r="K36" s="30"/>
    </row>
    <row r="37" spans="8:11" x14ac:dyDescent="0.25">
      <c r="I37" s="30"/>
      <c r="J37" s="30"/>
      <c r="K37" s="30"/>
    </row>
    <row r="38" spans="8:11" x14ac:dyDescent="0.25">
      <c r="I38" s="30"/>
      <c r="J38" s="30"/>
      <c r="K38" s="30"/>
    </row>
    <row r="39" spans="8:11" x14ac:dyDescent="0.25">
      <c r="I39" s="30"/>
      <c r="J39" s="30"/>
      <c r="K39" s="30"/>
    </row>
    <row r="40" spans="8:11" x14ac:dyDescent="0.25">
      <c r="I40" s="30"/>
      <c r="J40" s="30"/>
      <c r="K40" s="30"/>
    </row>
    <row r="41" spans="8:11" x14ac:dyDescent="0.25">
      <c r="I41" s="30"/>
    </row>
    <row r="42" spans="8:11" x14ac:dyDescent="0.25">
      <c r="I42" s="30"/>
    </row>
  </sheetData>
  <phoneticPr fontId="10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3074" r:id="rId3">
          <objectPr defaultSize="0" autoPict="0" r:id="rId4">
            <anchor moveWithCells="1">
              <from>
                <xdr:col>0</xdr:col>
                <xdr:colOff>819150</xdr:colOff>
                <xdr:row>16</xdr:row>
                <xdr:rowOff>31750</xdr:rowOff>
              </from>
              <to>
                <xdr:col>5</xdr:col>
                <xdr:colOff>469900</xdr:colOff>
                <xdr:row>27</xdr:row>
                <xdr:rowOff>57150</xdr:rowOff>
              </to>
            </anchor>
          </objectPr>
        </oleObject>
      </mc:Choice>
      <mc:Fallback>
        <oleObject progId="Equation.3" shapeId="3074" r:id="rId3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3:L45"/>
  <sheetViews>
    <sheetView tabSelected="1" topLeftCell="A27" workbookViewId="0">
      <selection activeCell="G28" sqref="G28"/>
    </sheetView>
  </sheetViews>
  <sheetFormatPr defaultRowHeight="12.5" x14ac:dyDescent="0.25"/>
  <cols>
    <col min="1" max="1" width="12" customWidth="1"/>
    <col min="2" max="2" width="10.7265625" customWidth="1"/>
    <col min="3" max="3" width="35.81640625" bestFit="1" customWidth="1"/>
    <col min="4" max="4" width="8.54296875" style="25" bestFit="1" customWidth="1"/>
    <col min="8" max="8" width="10.1796875" customWidth="1"/>
    <col min="9" max="9" width="9.54296875" bestFit="1" customWidth="1"/>
  </cols>
  <sheetData>
    <row r="3" spans="3:12" x14ac:dyDescent="0.25">
      <c r="H3" s="44"/>
      <c r="I3" s="30"/>
      <c r="J3" s="30"/>
      <c r="K3" s="30"/>
      <c r="L3" s="31"/>
    </row>
    <row r="4" spans="3:12" ht="13.5" thickBot="1" x14ac:dyDescent="0.35">
      <c r="C4" s="11" t="s">
        <v>17</v>
      </c>
      <c r="D4" s="32">
        <v>100000</v>
      </c>
      <c r="H4" s="45" t="s">
        <v>33</v>
      </c>
      <c r="I4" s="41">
        <f>D11</f>
        <v>2708.0128015453201</v>
      </c>
      <c r="J4" s="42">
        <f>D12</f>
        <v>1969.4638556693237</v>
      </c>
      <c r="K4" s="43">
        <f>D19</f>
        <v>14770.978917519929</v>
      </c>
    </row>
    <row r="5" spans="3:12" ht="13" x14ac:dyDescent="0.3">
      <c r="C5" s="11" t="s">
        <v>18</v>
      </c>
      <c r="D5" s="33">
        <v>50</v>
      </c>
      <c r="H5" s="44">
        <v>5</v>
      </c>
      <c r="I5" s="30">
        <f t="dataTable" ref="I5:K24" dt2D="0" dtr="0" r1="D8"/>
        <v>3651.4837167011074</v>
      </c>
      <c r="J5" s="30">
        <v>1460.593486680443</v>
      </c>
      <c r="K5" s="30">
        <v>10954.451150103323</v>
      </c>
    </row>
    <row r="6" spans="3:12" ht="13" x14ac:dyDescent="0.3">
      <c r="C6" s="11" t="s">
        <v>19</v>
      </c>
      <c r="D6" s="33">
        <v>200</v>
      </c>
      <c r="H6" s="44">
        <v>10</v>
      </c>
      <c r="I6" s="30">
        <v>3055.0504633038931</v>
      </c>
      <c r="J6" s="30">
        <v>1745.743121887939</v>
      </c>
      <c r="K6" s="30">
        <v>13093.073414159542</v>
      </c>
    </row>
    <row r="7" spans="3:12" ht="13" x14ac:dyDescent="0.3">
      <c r="C7" s="11" t="s">
        <v>20</v>
      </c>
      <c r="D7" s="34">
        <v>0.15</v>
      </c>
      <c r="H7" s="44">
        <v>15</v>
      </c>
      <c r="I7" s="30">
        <v>2828.4271247461902</v>
      </c>
      <c r="J7" s="30">
        <v>1885.6180831641266</v>
      </c>
      <c r="K7" s="30">
        <v>14142.135623730952</v>
      </c>
    </row>
    <row r="8" spans="3:12" ht="13" x14ac:dyDescent="0.3">
      <c r="C8" s="11" t="s">
        <v>26</v>
      </c>
      <c r="D8" s="33">
        <v>20</v>
      </c>
      <c r="H8" s="44">
        <v>20</v>
      </c>
      <c r="I8" s="30">
        <v>2708.0128015453201</v>
      </c>
      <c r="J8" s="30">
        <v>1969.4638556693237</v>
      </c>
      <c r="K8" s="30">
        <v>14770.978917519929</v>
      </c>
    </row>
    <row r="9" spans="3:12" x14ac:dyDescent="0.25">
      <c r="H9" s="44">
        <v>25</v>
      </c>
      <c r="I9" s="30">
        <v>2633.1223544175332</v>
      </c>
      <c r="J9" s="30">
        <v>2025.4787341673332</v>
      </c>
      <c r="K9" s="30">
        <v>15191.090506254997</v>
      </c>
    </row>
    <row r="10" spans="3:12" x14ac:dyDescent="0.25">
      <c r="H10" s="44">
        <v>30</v>
      </c>
      <c r="I10" s="30">
        <v>2581.9888974716109</v>
      </c>
      <c r="J10" s="30">
        <v>2065.5911179772893</v>
      </c>
      <c r="K10" s="30">
        <v>15491.933384829668</v>
      </c>
    </row>
    <row r="11" spans="3:12" ht="13" x14ac:dyDescent="0.3">
      <c r="C11" s="35" t="s">
        <v>29</v>
      </c>
      <c r="D11" s="36">
        <f>SQRT(((2*$D$4*$D$6)/($D$5*$D$7))*(($D$8+$D$5*$D$7)/$D$8))</f>
        <v>2708.0128015453201</v>
      </c>
      <c r="H11" s="44">
        <v>35</v>
      </c>
      <c r="I11" s="30">
        <v>2544.8360411214071</v>
      </c>
      <c r="J11" s="30">
        <v>2095.7473279823353</v>
      </c>
      <c r="K11" s="30">
        <v>15718.104959867513</v>
      </c>
    </row>
    <row r="12" spans="3:12" ht="13" x14ac:dyDescent="0.3">
      <c r="C12" s="35" t="s">
        <v>28</v>
      </c>
      <c r="D12" s="36">
        <f>SQRT((2*$D$4*$D$6/($D$5*$D$7))*($D$8/($D$8+$D$5*$D$7)))</f>
        <v>1969.4638556693237</v>
      </c>
      <c r="H12" s="44">
        <v>40</v>
      </c>
      <c r="I12" s="30">
        <v>2516.6114784235833</v>
      </c>
      <c r="J12" s="30">
        <v>2119.2517713040702</v>
      </c>
      <c r="K12" s="30">
        <v>15894.388284780525</v>
      </c>
    </row>
    <row r="13" spans="3:12" ht="13" x14ac:dyDescent="0.3">
      <c r="C13" s="35" t="s">
        <v>27</v>
      </c>
      <c r="D13" s="36">
        <f>D11-D12</f>
        <v>738.54894587599642</v>
      </c>
      <c r="H13" s="44">
        <v>45</v>
      </c>
      <c r="I13" s="30">
        <v>2494.4382578492941</v>
      </c>
      <c r="J13" s="30">
        <v>2138.0899352993952</v>
      </c>
      <c r="K13" s="30">
        <v>16035.674514745464</v>
      </c>
    </row>
    <row r="14" spans="3:12" ht="13" x14ac:dyDescent="0.3">
      <c r="C14" s="35" t="s">
        <v>22</v>
      </c>
      <c r="D14" s="37">
        <f>$D$4/D11</f>
        <v>36.927447293799823</v>
      </c>
      <c r="H14" s="44">
        <v>50</v>
      </c>
      <c r="I14" s="30">
        <v>2476.5567494675611</v>
      </c>
      <c r="J14" s="30">
        <v>2153.5276082326618</v>
      </c>
      <c r="K14" s="30">
        <v>16151.457061744966</v>
      </c>
    </row>
    <row r="15" spans="3:12" ht="13" x14ac:dyDescent="0.3">
      <c r="C15" s="35" t="s">
        <v>23</v>
      </c>
      <c r="D15" s="37">
        <f>365*D11/D4</f>
        <v>9.8842467256404181</v>
      </c>
      <c r="H15" s="44">
        <v>55</v>
      </c>
      <c r="I15" s="30">
        <v>2461.8298195866546</v>
      </c>
      <c r="J15" s="30">
        <v>2166.4102412362558</v>
      </c>
      <c r="K15" s="30">
        <v>16248.076809271921</v>
      </c>
    </row>
    <row r="16" spans="3:12" ht="13" x14ac:dyDescent="0.3">
      <c r="C16" s="35" t="s">
        <v>24</v>
      </c>
      <c r="D16" s="37">
        <f>(D4*D6)/D11</f>
        <v>7385.4894587599638</v>
      </c>
      <c r="H16" s="44">
        <v>60</v>
      </c>
      <c r="I16" s="30">
        <v>2449.4897427831779</v>
      </c>
      <c r="J16" s="30">
        <v>2177.3242158072694</v>
      </c>
      <c r="K16" s="30">
        <v>16329.931618554521</v>
      </c>
    </row>
    <row r="17" spans="3:11" ht="13" x14ac:dyDescent="0.3">
      <c r="C17" s="35" t="s">
        <v>37</v>
      </c>
      <c r="D17" s="37">
        <f>(D5*D7)*D12*D12/(2*D11)</f>
        <v>5371.2650609163375</v>
      </c>
      <c r="H17" s="44">
        <v>65</v>
      </c>
      <c r="I17" s="30">
        <v>2438.9993744808439</v>
      </c>
      <c r="J17" s="30">
        <v>2186.6890943621361</v>
      </c>
      <c r="K17" s="30">
        <v>16400.168207716022</v>
      </c>
    </row>
    <row r="18" spans="3:11" ht="13" x14ac:dyDescent="0.3">
      <c r="C18" s="35" t="s">
        <v>30</v>
      </c>
      <c r="D18" s="37">
        <f>D8*(D11-D12)*(D11-D12)/(2*D11)</f>
        <v>2014.2243978436268</v>
      </c>
      <c r="H18" s="44">
        <v>70</v>
      </c>
      <c r="I18" s="30">
        <v>2429.9715851758237</v>
      </c>
      <c r="J18" s="30">
        <v>2194.8130446749374</v>
      </c>
      <c r="K18" s="30">
        <v>16461.097835062028</v>
      </c>
    </row>
    <row r="19" spans="3:11" ht="13" x14ac:dyDescent="0.3">
      <c r="C19" s="35" t="s">
        <v>25</v>
      </c>
      <c r="D19" s="37">
        <f>SUM(D16:D18)</f>
        <v>14770.978917519929</v>
      </c>
      <c r="H19" s="44">
        <v>75</v>
      </c>
      <c r="I19" s="30">
        <v>2422.1202832779936</v>
      </c>
      <c r="J19" s="30">
        <v>2201.9275302527212</v>
      </c>
      <c r="K19" s="30">
        <v>16514.456476895408</v>
      </c>
    </row>
    <row r="20" spans="3:11" x14ac:dyDescent="0.25">
      <c r="H20" s="44">
        <v>80</v>
      </c>
      <c r="I20" s="30">
        <v>2415.2294576982399</v>
      </c>
      <c r="J20" s="30">
        <v>2208.2097898955335</v>
      </c>
      <c r="K20" s="30">
        <v>16561.573424216502</v>
      </c>
    </row>
    <row r="21" spans="3:11" x14ac:dyDescent="0.25">
      <c r="H21" s="44">
        <v>85</v>
      </c>
      <c r="I21" s="30">
        <v>2409.132949554144</v>
      </c>
      <c r="J21" s="30">
        <v>2213.7978455362409</v>
      </c>
      <c r="K21" s="30">
        <v>16603.483841521807</v>
      </c>
    </row>
    <row r="22" spans="3:11" x14ac:dyDescent="0.25">
      <c r="H22" s="44">
        <v>90</v>
      </c>
      <c r="I22" s="30">
        <v>2403.7008503093261</v>
      </c>
      <c r="J22" s="30">
        <v>2218.8007849009164</v>
      </c>
      <c r="K22" s="30">
        <v>16641.005886756873</v>
      </c>
    </row>
    <row r="23" spans="3:11" x14ac:dyDescent="0.25">
      <c r="H23" s="44">
        <v>95</v>
      </c>
      <c r="I23" s="30">
        <v>2398.8301242297839</v>
      </c>
      <c r="J23" s="30">
        <v>2223.3059687983364</v>
      </c>
      <c r="K23" s="30">
        <v>16674.794765987524</v>
      </c>
    </row>
    <row r="24" spans="3:11" x14ac:dyDescent="0.25">
      <c r="H24" s="44">
        <v>100</v>
      </c>
      <c r="I24" s="30">
        <v>2394.4379994757292</v>
      </c>
      <c r="J24" s="30">
        <v>2227.384185558818</v>
      </c>
      <c r="K24" s="30">
        <v>16705.381391691135</v>
      </c>
    </row>
    <row r="25" spans="3:11" x14ac:dyDescent="0.25">
      <c r="I25" s="30"/>
      <c r="J25" s="30"/>
      <c r="K25" s="30"/>
    </row>
    <row r="26" spans="3:11" x14ac:dyDescent="0.25">
      <c r="I26" s="30"/>
      <c r="J26" s="30"/>
      <c r="K26" s="30"/>
    </row>
    <row r="27" spans="3:11" x14ac:dyDescent="0.25">
      <c r="I27" s="30"/>
      <c r="J27" s="30"/>
      <c r="K27" s="30"/>
    </row>
    <row r="28" spans="3:11" x14ac:dyDescent="0.25">
      <c r="I28" s="30"/>
      <c r="J28" s="30"/>
      <c r="K28" s="30"/>
    </row>
    <row r="29" spans="3:11" x14ac:dyDescent="0.25">
      <c r="I29" s="30"/>
      <c r="J29" s="30"/>
      <c r="K29" s="30"/>
    </row>
    <row r="30" spans="3:11" x14ac:dyDescent="0.25">
      <c r="I30" s="30"/>
      <c r="J30" s="30"/>
      <c r="K30" s="30"/>
    </row>
    <row r="31" spans="3:11" x14ac:dyDescent="0.25">
      <c r="I31" s="30"/>
      <c r="J31" s="30"/>
      <c r="K31" s="30"/>
    </row>
    <row r="32" spans="3:11" x14ac:dyDescent="0.25">
      <c r="I32" s="30"/>
      <c r="J32" s="30"/>
      <c r="K32" s="30"/>
    </row>
    <row r="33" spans="3:11" x14ac:dyDescent="0.25">
      <c r="I33" s="30"/>
      <c r="J33" s="30"/>
      <c r="K33" s="30"/>
    </row>
    <row r="34" spans="3:11" x14ac:dyDescent="0.25">
      <c r="I34" s="30"/>
      <c r="J34" s="30"/>
      <c r="K34" s="30"/>
    </row>
    <row r="35" spans="3:11" x14ac:dyDescent="0.25">
      <c r="I35" s="30"/>
      <c r="J35" s="30"/>
      <c r="K35" s="30"/>
    </row>
    <row r="36" spans="3:11" x14ac:dyDescent="0.25">
      <c r="I36" s="30"/>
      <c r="J36" s="30"/>
      <c r="K36" s="30"/>
    </row>
    <row r="37" spans="3:11" x14ac:dyDescent="0.25">
      <c r="I37" s="30"/>
      <c r="J37" s="30"/>
      <c r="K37" s="30"/>
    </row>
    <row r="38" spans="3:11" x14ac:dyDescent="0.25">
      <c r="I38" s="30"/>
      <c r="J38" s="30"/>
      <c r="K38" s="30"/>
    </row>
    <row r="39" spans="3:11" x14ac:dyDescent="0.25">
      <c r="I39" s="30"/>
      <c r="J39" s="30"/>
      <c r="K39" s="30"/>
    </row>
    <row r="40" spans="3:11" x14ac:dyDescent="0.25">
      <c r="I40" s="30"/>
      <c r="J40" s="30"/>
      <c r="K40" s="30"/>
    </row>
    <row r="41" spans="3:11" x14ac:dyDescent="0.25">
      <c r="I41" s="30"/>
      <c r="J41" s="30"/>
      <c r="K41" s="30"/>
    </row>
    <row r="42" spans="3:11" x14ac:dyDescent="0.25">
      <c r="I42" s="30"/>
    </row>
    <row r="43" spans="3:11" x14ac:dyDescent="0.25">
      <c r="I43" s="30"/>
    </row>
    <row r="44" spans="3:11" x14ac:dyDescent="0.25">
      <c r="C44" t="s">
        <v>31</v>
      </c>
    </row>
    <row r="45" spans="3:11" ht="37.5" x14ac:dyDescent="0.25">
      <c r="C45" s="38" t="s">
        <v>32</v>
      </c>
    </row>
  </sheetData>
  <phoneticPr fontId="10" type="noConversion"/>
  <pageMargins left="0.75" right="0.75" top="1" bottom="1" header="0.5" footer="0.5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4098" r:id="rId3">
          <objectPr defaultSize="0" autoPict="0" r:id="rId4">
            <anchor moveWithCells="1" sizeWithCells="1">
              <from>
                <xdr:col>2</xdr:col>
                <xdr:colOff>114300</xdr:colOff>
                <xdr:row>21</xdr:row>
                <xdr:rowOff>19050</xdr:rowOff>
              </from>
              <to>
                <xdr:col>5</xdr:col>
                <xdr:colOff>57150</xdr:colOff>
                <xdr:row>41</xdr:row>
                <xdr:rowOff>139700</xdr:rowOff>
              </to>
            </anchor>
          </objectPr>
        </oleObject>
      </mc:Choice>
      <mc:Fallback>
        <oleObject progId="Equation.3" shapeId="4098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 1</vt:lpstr>
      <vt:lpstr>Question 2(a)</vt:lpstr>
      <vt:lpstr>Question 2 (b)</vt:lpstr>
      <vt:lpstr>Question 3</vt:lpstr>
      <vt:lpstr>Question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Jason Siu</cp:lastModifiedBy>
  <cp:lastPrinted>2009-04-21T22:51:20Z</cp:lastPrinted>
  <dcterms:created xsi:type="dcterms:W3CDTF">1997-01-11T18:31:21Z</dcterms:created>
  <dcterms:modified xsi:type="dcterms:W3CDTF">2022-10-08T06:13:05Z</dcterms:modified>
</cp:coreProperties>
</file>