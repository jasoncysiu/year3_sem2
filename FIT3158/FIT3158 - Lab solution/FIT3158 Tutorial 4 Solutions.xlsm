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Tutorial\Week 5\"/>
    </mc:Choice>
  </mc:AlternateContent>
  <bookViews>
    <workbookView xWindow="360" yWindow="96" windowWidth="11340" windowHeight="6792"/>
  </bookViews>
  <sheets>
    <sheet name="Ex 1 (Prb6_10)" sheetId="1" r:id="rId1"/>
    <sheet name="Ex 1 (Prb6_10) (d)" sheetId="6" r:id="rId2"/>
    <sheet name="Ex 2 (Prb6_17)" sheetId="10" r:id="rId3"/>
    <sheet name="Ex 3 (Prb6_20)" sheetId="5" r:id="rId4"/>
    <sheet name="Ex 4 (Prb7_12)" sheetId="7" r:id="rId5"/>
    <sheet name="Ex 4 (Prb7_12) (formula)" sheetId="8" r:id="rId6"/>
  </sheets>
  <externalReferences>
    <externalReference r:id="rId7"/>
    <externalReference r:id="rId8"/>
    <externalReference r:id="rId9"/>
    <externalReference r:id="rId10"/>
  </externalReferences>
  <definedNames>
    <definedName name="solver_adj" localSheetId="0" hidden="1">'Ex 1 (Prb6_10)'!$I$5:$I$11</definedName>
    <definedName name="solver_adj" localSheetId="1" hidden="1">'Ex 1 (Prb6_10) (d)'!$I$5:$I$11</definedName>
    <definedName name="solver_adj" localSheetId="3" hidden="1">'Ex 3 (Prb6_20)'!$C$13:$E$15,'Ex 3 (Prb6_20)'!$C$23:$E$25</definedName>
    <definedName name="solver_adj" localSheetId="4" hidden="1">'Ex 4 (Prb7_12)'!$B$5:$C$5,'Ex 4 (Prb7_12)'!$B$16</definedName>
    <definedName name="solver_cvg" localSheetId="0" hidden="1">0.0001</definedName>
    <definedName name="solver_cvg" localSheetId="1" hidden="1">0.0001</definedName>
    <definedName name="solver_cvg" localSheetId="3" hidden="1">0.0001</definedName>
    <definedName name="solver_cvg" localSheetId="4" hidden="1">0.0001</definedName>
    <definedName name="solver_drv" localSheetId="0" hidden="1">1</definedName>
    <definedName name="solver_drv" localSheetId="1" hidden="1">1</definedName>
    <definedName name="solver_drv" localSheetId="3" hidden="1">1</definedName>
    <definedName name="solver_drv" localSheetId="4" hidden="1">1</definedName>
    <definedName name="solver_eng" localSheetId="0" hidden="1">2</definedName>
    <definedName name="solver_eng" localSheetId="1" hidden="1">2</definedName>
    <definedName name="solver_est" localSheetId="0" hidden="1">1</definedName>
    <definedName name="solver_est" localSheetId="1" hidden="1">1</definedName>
    <definedName name="solver_est" localSheetId="3" hidden="1">1</definedName>
    <definedName name="solver_est" localSheetId="4" hidden="1">1</definedName>
    <definedName name="solver_ibd" localSheetId="0" hidden="1">2</definedName>
    <definedName name="solver_ibd" localSheetId="1" hidden="1">2</definedName>
    <definedName name="solver_itr" localSheetId="0" hidden="1">100</definedName>
    <definedName name="solver_itr" localSheetId="1" hidden="1">100</definedName>
    <definedName name="solver_itr" localSheetId="3" hidden="1">100</definedName>
    <definedName name="solver_itr" localSheetId="4" hidden="1">100</definedName>
    <definedName name="solver_lhs1" localSheetId="0" hidden="1">'Ex 1 (Prb6_10)'!$B$12:$H$12</definedName>
    <definedName name="solver_lhs1" localSheetId="1" hidden="1">'Ex 1 (Prb6_10) (d)'!$I$5:$I$11</definedName>
    <definedName name="solver_lhs1" localSheetId="3" hidden="1">'Ex 3 (Prb6_20)'!$C$13:$E$15</definedName>
    <definedName name="solver_lhs1" localSheetId="4" hidden="1">'Ex 4 (Prb7_12)'!$D$12:$D$14</definedName>
    <definedName name="solver_lhs2" localSheetId="0" hidden="1">'Ex 1 (Prb6_10)'!$I$5:$I$11</definedName>
    <definedName name="solver_lhs2" localSheetId="1" hidden="1">'Ex 1 (Prb6_10) (d)'!$I$5:$I$11</definedName>
    <definedName name="solver_lhs2" localSheetId="3" hidden="1">'Ex 3 (Prb6_20)'!$C$23:$E$25</definedName>
    <definedName name="solver_lhs2" localSheetId="4" hidden="1">'Ex 4 (Prb7_12)'!$G$8:$G$9</definedName>
    <definedName name="solver_lhs3" localSheetId="0" hidden="1">'Ex 1 (Prb6_10)'!$I$5:$I$11</definedName>
    <definedName name="solver_lhs3" localSheetId="1" hidden="1">'Ex 1 (Prb6_10) (d)'!$B$12:$H$12</definedName>
    <definedName name="solver_lhs3" localSheetId="3" hidden="1">'Ex 3 (Prb6_20)'!$F$13:$F$15</definedName>
    <definedName name="solver_lhs3" localSheetId="4" hidden="1">'Ex 4 (Prb7_12)'!$B$5:$C$5</definedName>
    <definedName name="solver_lhs4" localSheetId="0" hidden="1">'Ex 1 (Prb6_10)'!#REF!</definedName>
    <definedName name="solver_lhs4" localSheetId="1" hidden="1">'Ex 1 (Prb6_10) (d)'!$I$15</definedName>
    <definedName name="solver_lhs4" localSheetId="3" hidden="1">'Ex 3 (Prb6_20)'!$C$16:$E$16</definedName>
    <definedName name="solver_lhs5" localSheetId="0" hidden="1">'Ex 1 (Prb6_10)'!#REF!</definedName>
    <definedName name="solver_lhs5" localSheetId="1" hidden="1">'Ex 1 (Prb6_10) (d)'!$I$5:$I$11</definedName>
    <definedName name="solver_lhs5" localSheetId="3" hidden="1">'Ex 3 (Prb6_20)'!$C$29:$E$31</definedName>
    <definedName name="solver_lin" localSheetId="0" hidden="1">1</definedName>
    <definedName name="solver_lin" localSheetId="1" hidden="1">1</definedName>
    <definedName name="solver_lin" localSheetId="3" hidden="1">1</definedName>
    <definedName name="solver_lin" localSheetId="4" hidden="1">1</definedName>
    <definedName name="solver_lva" localSheetId="0" hidden="1">2</definedName>
    <definedName name="solver_lva" localSheetId="1" hidden="1">2</definedName>
    <definedName name="solver_mip" localSheetId="0" hidden="1">1000</definedName>
    <definedName name="solver_mip" localSheetId="1" hidden="1">1000</definedName>
    <definedName name="solver_neg" localSheetId="0" hidden="1">2</definedName>
    <definedName name="solver_neg" localSheetId="1" hidden="1">2</definedName>
    <definedName name="solver_neg" localSheetId="3" hidden="1">2</definedName>
    <definedName name="solver_neg" localSheetId="4" hidden="1">2</definedName>
    <definedName name="solver_nod" localSheetId="0" hidden="1">1000</definedName>
    <definedName name="solver_nod" localSheetId="1" hidden="1">1000</definedName>
    <definedName name="solver_num" localSheetId="0" hidden="1">3</definedName>
    <definedName name="solver_num" localSheetId="1" hidden="1">4</definedName>
    <definedName name="solver_num" localSheetId="3" hidden="1">5</definedName>
    <definedName name="solver_num" localSheetId="4" hidden="1">3</definedName>
    <definedName name="solver_nwt" localSheetId="0" hidden="1">1</definedName>
    <definedName name="solver_nwt" localSheetId="1" hidden="1">1</definedName>
    <definedName name="solver_nwt" localSheetId="3" hidden="1">1</definedName>
    <definedName name="solver_nwt" localSheetId="4" hidden="1">1</definedName>
    <definedName name="solver_ofx" localSheetId="0" hidden="1">2</definedName>
    <definedName name="solver_ofx" localSheetId="1" hidden="1">2</definedName>
    <definedName name="solver_opt" localSheetId="0" hidden="1">'Ex 1 (Prb6_10)'!$I$15</definedName>
    <definedName name="solver_opt" localSheetId="1" hidden="1">'Ex 1 (Prb6_10) (d)'!$E$15</definedName>
    <definedName name="solver_opt" localSheetId="3" hidden="1">'Ex 3 (Prb6_20)'!$E$19</definedName>
    <definedName name="solver_opt" localSheetId="4" hidden="1">'Ex 4 (Prb7_12)'!$B$16</definedName>
    <definedName name="solver_piv" localSheetId="0" hidden="1">0.000001</definedName>
    <definedName name="solver_piv" localSheetId="1" hidden="1">0.000001</definedName>
    <definedName name="solver_pre" localSheetId="0" hidden="1">0.000001</definedName>
    <definedName name="solver_pre" localSheetId="1" hidden="1">0.000001</definedName>
    <definedName name="solver_pre" localSheetId="3" hidden="1">0.000001</definedName>
    <definedName name="solver_pre" localSheetId="4" hidden="1">0.000001</definedName>
    <definedName name="solver_pro" localSheetId="0" hidden="1">2</definedName>
    <definedName name="solver_pro" localSheetId="1" hidden="1">2</definedName>
    <definedName name="solver_red" localSheetId="0" hidden="1">0.000001</definedName>
    <definedName name="solver_red" localSheetId="1" hidden="1">0.000001</definedName>
    <definedName name="solver_rel1" localSheetId="0" hidden="1">3</definedName>
    <definedName name="solver_rel1" localSheetId="1" hidden="1">4</definedName>
    <definedName name="solver_rel1" localSheetId="3" hidden="1">3</definedName>
    <definedName name="solver_rel1" localSheetId="4" hidden="1">1</definedName>
    <definedName name="solver_rel2" localSheetId="0" hidden="1">3</definedName>
    <definedName name="solver_rel2" localSheetId="1" hidden="1">3</definedName>
    <definedName name="solver_rel2" localSheetId="3" hidden="1">5</definedName>
    <definedName name="solver_rel2" localSheetId="4" hidden="1">1</definedName>
    <definedName name="solver_rel3" localSheetId="0" hidden="1">4</definedName>
    <definedName name="solver_rel3" localSheetId="1" hidden="1">3</definedName>
    <definedName name="solver_rel3" localSheetId="3" hidden="1">2</definedName>
    <definedName name="solver_rel3" localSheetId="4" hidden="1">3</definedName>
    <definedName name="solver_rel4" localSheetId="0" hidden="1">3</definedName>
    <definedName name="solver_rel4" localSheetId="1" hidden="1">2</definedName>
    <definedName name="solver_rel4" localSheetId="3" hidden="1">1</definedName>
    <definedName name="solver_rel5" localSheetId="0" hidden="1">3</definedName>
    <definedName name="solver_rel5" localSheetId="1" hidden="1">4</definedName>
    <definedName name="solver_rel5" localSheetId="3" hidden="1">1</definedName>
    <definedName name="solver_reo" localSheetId="0" hidden="1">2</definedName>
    <definedName name="solver_reo" localSheetId="1" hidden="1">2</definedName>
    <definedName name="solver_rep" localSheetId="0" hidden="1">2</definedName>
    <definedName name="solver_rep" localSheetId="1" hidden="1">2</definedName>
    <definedName name="solver_rhs1" localSheetId="0" hidden="1">'Ex 1 (Prb6_10)'!$B$13:$H$13</definedName>
    <definedName name="solver_rhs1" localSheetId="1" hidden="1">integer</definedName>
    <definedName name="solver_rhs1" localSheetId="3" hidden="1">0</definedName>
    <definedName name="solver_rhs1" localSheetId="4" hidden="1">'Ex 4 (Prb7_12)'!$E$12:$E$14</definedName>
    <definedName name="solver_rhs2" localSheetId="0" hidden="1">0</definedName>
    <definedName name="solver_rhs2" localSheetId="1" hidden="1">0</definedName>
    <definedName name="solver_rhs2" localSheetId="3" hidden="1">binary</definedName>
    <definedName name="solver_rhs2" localSheetId="4" hidden="1">'Ex 4 (Prb7_12)'!$B$16</definedName>
    <definedName name="solver_rhs3" localSheetId="0" hidden="1">integer</definedName>
    <definedName name="solver_rhs3" localSheetId="1" hidden="1">'Ex 1 (Prb6_10) (d)'!$B$13:$H$13</definedName>
    <definedName name="solver_rhs3" localSheetId="3" hidden="1">'Ex 3 (Prb6_20)'!$G$13:$G$15</definedName>
    <definedName name="solver_rhs3" localSheetId="4" hidden="1">0</definedName>
    <definedName name="solver_rhs4" localSheetId="0" hidden="1">'Ex 1 (Prb6_10)'!#REF!</definedName>
    <definedName name="solver_rhs4" localSheetId="1" hidden="1">24</definedName>
    <definedName name="solver_rhs4" localSheetId="3" hidden="1">'Ex 3 (Prb6_20)'!$C$17:$E$17</definedName>
    <definedName name="solver_rhs5" localSheetId="0" hidden="1">'Ex 1 (Prb6_10)'!#REF!</definedName>
    <definedName name="solver_rhs5" localSheetId="1" hidden="1">integer</definedName>
    <definedName name="solver_rhs5" localSheetId="3" hidden="1">0</definedName>
    <definedName name="solver_rlx" localSheetId="0" hidden="1">2</definedName>
    <definedName name="solver_rlx" localSheetId="1" hidden="1">2</definedName>
    <definedName name="solver_scl" localSheetId="0" hidden="1">2</definedName>
    <definedName name="solver_scl" localSheetId="1" hidden="1">2</definedName>
    <definedName name="solver_scl" localSheetId="3" hidden="1">2</definedName>
    <definedName name="solver_scl" localSheetId="4" hidden="1">2</definedName>
    <definedName name="solver_sho" localSheetId="0" hidden="1">2</definedName>
    <definedName name="solver_sho" localSheetId="1" hidden="1">2</definedName>
    <definedName name="solver_sho" localSheetId="3" hidden="1">2</definedName>
    <definedName name="solver_sho" localSheetId="4" hidden="1">2</definedName>
    <definedName name="solver_std" localSheetId="0" hidden="1">0</definedName>
    <definedName name="solver_std" localSheetId="1" hidden="1">0</definedName>
    <definedName name="solver_tim" localSheetId="0" hidden="1">100</definedName>
    <definedName name="solver_tim" localSheetId="1" hidden="1">100</definedName>
    <definedName name="solver_tim" localSheetId="3" hidden="1">100</definedName>
    <definedName name="solver_tim" localSheetId="4" hidden="1">100</definedName>
    <definedName name="solver_tol" localSheetId="0" hidden="1">0</definedName>
    <definedName name="solver_tol" localSheetId="1" hidden="1">0</definedName>
    <definedName name="solver_tol" localSheetId="3" hidden="1">0.05</definedName>
    <definedName name="solver_tol" localSheetId="4" hidden="1">0.05</definedName>
    <definedName name="solver_typ" localSheetId="0" hidden="1">2</definedName>
    <definedName name="solver_typ" localSheetId="1" hidden="1">1</definedName>
    <definedName name="solver_typ" localSheetId="3" hidden="1">2</definedName>
    <definedName name="solver_typ" localSheetId="4" hidden="1">2</definedName>
    <definedName name="solver_val" localSheetId="0" hidden="1">0</definedName>
    <definedName name="solver_val" localSheetId="1" hidden="1">0</definedName>
    <definedName name="solver_val" localSheetId="3" hidden="1">0</definedName>
    <definedName name="solver_val" localSheetId="4" hidden="1">0</definedName>
    <definedName name="solver_ver" localSheetId="0" hidden="1">2</definedName>
    <definedName name="solver_ver" localSheetId="1" hidden="1">2</definedName>
  </definedNames>
  <calcPr calcId="162913"/>
</workbook>
</file>

<file path=xl/calcChain.xml><?xml version="1.0" encoding="utf-8"?>
<calcChain xmlns="http://schemas.openxmlformats.org/spreadsheetml/2006/main">
  <c r="F16" i="10" l="1"/>
  <c r="F15" i="10"/>
  <c r="F17" i="10" s="1"/>
  <c r="F12" i="10"/>
  <c r="H11" i="10"/>
  <c r="H10" i="10"/>
  <c r="H9" i="10"/>
  <c r="H8" i="10"/>
  <c r="H7" i="10"/>
  <c r="H6" i="10"/>
  <c r="D14" i="8"/>
  <c r="D13" i="8"/>
  <c r="D12" i="8"/>
  <c r="D9" i="8"/>
  <c r="G9" i="8"/>
  <c r="D8" i="8"/>
  <c r="G8" i="8"/>
  <c r="D14" i="7"/>
  <c r="D13" i="7"/>
  <c r="D12" i="7"/>
  <c r="D9" i="7"/>
  <c r="G9" i="7" s="1"/>
  <c r="D8" i="7"/>
  <c r="G8" i="7" s="1"/>
  <c r="I15" i="6"/>
  <c r="E15" i="6"/>
  <c r="H12" i="6"/>
  <c r="G12" i="6"/>
  <c r="F12" i="6"/>
  <c r="E12" i="6"/>
  <c r="D12" i="6"/>
  <c r="C12" i="6"/>
  <c r="B12" i="6"/>
  <c r="I15" i="1"/>
  <c r="H12" i="1"/>
  <c r="G12" i="1"/>
  <c r="F12" i="1"/>
  <c r="E12" i="1"/>
  <c r="D12" i="1"/>
  <c r="C12" i="1"/>
  <c r="B12" i="1"/>
  <c r="E31" i="5"/>
  <c r="D31" i="5"/>
  <c r="C31" i="5"/>
  <c r="E30" i="5"/>
  <c r="D30" i="5"/>
  <c r="C30" i="5"/>
  <c r="E29" i="5"/>
  <c r="D29" i="5"/>
  <c r="C29" i="5"/>
  <c r="E19" i="5"/>
  <c r="E16" i="5"/>
  <c r="D16" i="5"/>
  <c r="C16" i="5"/>
  <c r="F15" i="5"/>
  <c r="F14" i="5"/>
  <c r="F13" i="5"/>
</calcChain>
</file>

<file path=xl/comments1.xml><?xml version="1.0" encoding="utf-8"?>
<comments xmlns="http://schemas.openxmlformats.org/spreadsheetml/2006/main">
  <authors>
    <author>A satisfied Microsoft Office user</author>
    <author>Cliff Ragsdale</author>
  </authors>
  <commentList>
    <comment ref="I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I15" authorId="1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2.xml><?xml version="1.0" encoding="utf-8"?>
<comments xmlns="http://schemas.openxmlformats.org/spreadsheetml/2006/main">
  <authors>
    <author>A satisfied Microsoft Office user</author>
    <author>Cliff Ragsdale</author>
  </authors>
  <commentList>
    <comment ref="I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I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H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5" authorId="1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I15" authorId="1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3.xml><?xml version="1.0" encoding="utf-8"?>
<comments xmlns="http://schemas.openxmlformats.org/spreadsheetml/2006/main">
  <authors>
    <author>A satisfied Microsoft Office user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H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17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</commentList>
</comments>
</file>

<file path=xl/comments4.xml><?xml version="1.0" encoding="utf-8"?>
<comments xmlns="http://schemas.openxmlformats.org/spreadsheetml/2006/main">
  <authors>
    <author>A satisfied Microsoft Office user</author>
  </authors>
  <commentList>
    <comment ref="C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5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9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C2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2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2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2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2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2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2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2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2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3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3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3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3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3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3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5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Set &amp; variable cell</t>
        </r>
      </text>
    </comment>
  </commentList>
</comments>
</file>

<file path=xl/comments6.xml><?xml version="1.0" encoding="utf-8"?>
<comments xmlns="http://schemas.openxmlformats.org/spreadsheetml/2006/main">
  <authors>
    <author>A satisfied Microsoft Office user</author>
  </authors>
  <commentList>
    <comment ref="B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G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2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4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Set &amp; variable cell</t>
        </r>
      </text>
    </comment>
  </commentList>
</comments>
</file>

<file path=xl/sharedStrings.xml><?xml version="1.0" encoding="utf-8"?>
<sst xmlns="http://schemas.openxmlformats.org/spreadsheetml/2006/main" count="139" uniqueCount="70">
  <si>
    <t>Available</t>
  </si>
  <si>
    <t>Workers</t>
  </si>
  <si>
    <t>Available:</t>
  </si>
  <si>
    <t>Linking</t>
  </si>
  <si>
    <t>Constraint</t>
  </si>
  <si>
    <t>Capacity</t>
  </si>
  <si>
    <t>Trucking Costs From</t>
  </si>
  <si>
    <t>Groves to Plant at:</t>
  </si>
  <si>
    <t>Grove</t>
  </si>
  <si>
    <t>Ocala</t>
  </si>
  <si>
    <t>Orlando</t>
  </si>
  <si>
    <t>Leesburg</t>
  </si>
  <si>
    <t>Mt. Dora</t>
  </si>
  <si>
    <t>Eustis</t>
  </si>
  <si>
    <t>Clermont</t>
  </si>
  <si>
    <t>Bushels Shipped From</t>
  </si>
  <si>
    <t>Bushels</t>
  </si>
  <si>
    <t>Shipped</t>
  </si>
  <si>
    <t>Received</t>
  </si>
  <si>
    <t>Total Trucking Cost:</t>
  </si>
  <si>
    <t>Routes Used:</t>
  </si>
  <si>
    <t>Linking Constraints:</t>
  </si>
  <si>
    <t>Days On=1, Days Off=0</t>
  </si>
  <si>
    <t>Shift</t>
  </si>
  <si>
    <t>Sun</t>
  </si>
  <si>
    <t>Mon</t>
  </si>
  <si>
    <t>Tues</t>
  </si>
  <si>
    <t>Wed</t>
  </si>
  <si>
    <t>Thur</t>
  </si>
  <si>
    <t>Fri</t>
  </si>
  <si>
    <t>Sat</t>
  </si>
  <si>
    <t>Scheduled</t>
  </si>
  <si>
    <t>1</t>
  </si>
  <si>
    <t>2</t>
  </si>
  <si>
    <t>3</t>
  </si>
  <si>
    <t>4</t>
  </si>
  <si>
    <t>5</t>
  </si>
  <si>
    <t>6</t>
  </si>
  <si>
    <t>7</t>
  </si>
  <si>
    <t>Required:</t>
  </si>
  <si>
    <t>Total workers</t>
  </si>
  <si>
    <t>Weekends Off</t>
  </si>
  <si>
    <t/>
  </si>
  <si>
    <t>Aqua-Spas</t>
  </si>
  <si>
    <t>Hydro-Luxes</t>
  </si>
  <si>
    <t>Number to make:</t>
  </si>
  <si>
    <t>Weighted</t>
  </si>
  <si>
    <t>Goals:</t>
  </si>
  <si>
    <t>Total</t>
  </si>
  <si>
    <t>Target Value</t>
  </si>
  <si>
    <t>Weights</t>
  </si>
  <si>
    <t>Deviation</t>
  </si>
  <si>
    <t xml:space="preserve">   Profit per unit</t>
  </si>
  <si>
    <t xml:space="preserve">   Pollution per unit</t>
  </si>
  <si>
    <t>Constraints:</t>
  </si>
  <si>
    <t>Used</t>
  </si>
  <si>
    <t xml:space="preserve">  Pumps Required</t>
  </si>
  <si>
    <t xml:space="preserve">  Labor Required</t>
  </si>
  <si>
    <t xml:space="preserve">  Tubing Required</t>
  </si>
  <si>
    <t>MiniMax Objective:</t>
  </si>
  <si>
    <t>Variable</t>
  </si>
  <si>
    <t>Binary</t>
  </si>
  <si>
    <t>Machine</t>
  </si>
  <si>
    <t>Fixed Cost</t>
  </si>
  <si>
    <t>Cost</t>
  </si>
  <si>
    <t>Quantity</t>
  </si>
  <si>
    <t>Required</t>
  </si>
  <si>
    <t>Total Variable Cost</t>
  </si>
  <si>
    <t>Total Fixed Cost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</si>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</sst>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&quot;$&quot;#,##0_);\(&quot;$&quot;#,##0\)"/>
    <numFmt numFmtId="172" formatCode="&quot;$&quot;#,##0"/>
    <numFmt numFmtId="179" formatCode="General_)"/>
    <numFmt numFmtId="180" formatCode="0.00_)"/>
    <numFmt numFmtId="185" formatCode="0_)"/>
  </numFmts>
  <fonts count="15" x14ac:knownFonts="1">
    <font>
      <sz val="10"/>
      <name val="Arial"/>
    </font>
    <font>
      <b/>
      <sz val="10"/>
      <color indexed="17"/>
      <name val="Arial"/>
      <family val="2"/>
    </font>
    <font>
      <sz val="8"/>
      <color indexed="81"/>
      <name val="Tahoma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sz val="10"/>
      <color indexed="12"/>
      <name val="Courier"/>
      <family val="3"/>
    </font>
    <font>
      <b/>
      <i/>
      <sz val="12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 applyAlignment="1">
      <alignment horizontal="centerContinuous"/>
    </xf>
    <xf numFmtId="0" fontId="5" fillId="0" borderId="0" xfId="0" applyFont="1" applyAlignment="1" applyProtection="1">
      <alignment horizontal="centerContinuous"/>
    </xf>
    <xf numFmtId="0" fontId="8" fillId="0" borderId="0" xfId="0" applyFont="1" applyAlignment="1">
      <alignment horizontal="centerContinuous"/>
    </xf>
    <xf numFmtId="0" fontId="8" fillId="0" borderId="0" xfId="0" applyFont="1" applyAlignment="1" applyProtection="1">
      <alignment horizontal="left"/>
    </xf>
    <xf numFmtId="0" fontId="5" fillId="0" borderId="1" xfId="0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left"/>
    </xf>
    <xf numFmtId="164" fontId="5" fillId="0" borderId="0" xfId="0" applyNumberFormat="1" applyFon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79" fontId="10" fillId="0" borderId="0" xfId="0" applyNumberFormat="1" applyFont="1" applyProtection="1">
      <protection locked="0"/>
    </xf>
    <xf numFmtId="0" fontId="5" fillId="0" borderId="0" xfId="0" applyFont="1" applyAlignment="1" applyProtection="1">
      <alignment horizontal="center"/>
    </xf>
    <xf numFmtId="179" fontId="8" fillId="0" borderId="0" xfId="0" applyNumberFormat="1" applyFont="1" applyProtection="1"/>
    <xf numFmtId="37" fontId="1" fillId="2" borderId="2" xfId="0" applyNumberFormat="1" applyFont="1" applyFill="1" applyBorder="1" applyAlignment="1" applyProtection="1">
      <alignment horizontal="center"/>
    </xf>
    <xf numFmtId="37" fontId="3" fillId="2" borderId="3" xfId="0" applyNumberFormat="1" applyFont="1" applyFill="1" applyBorder="1" applyAlignment="1" applyProtection="1">
      <alignment horizontal="center"/>
    </xf>
    <xf numFmtId="37" fontId="7" fillId="0" borderId="0" xfId="0" applyNumberFormat="1" applyFont="1" applyBorder="1" applyAlignment="1" applyProtection="1">
      <alignment horizontal="center"/>
    </xf>
    <xf numFmtId="37" fontId="1" fillId="2" borderId="4" xfId="0" applyNumberFormat="1" applyFont="1" applyFill="1" applyBorder="1" applyAlignment="1" applyProtection="1">
      <alignment horizontal="center"/>
    </xf>
    <xf numFmtId="37" fontId="3" fillId="2" borderId="5" xfId="0" applyNumberFormat="1" applyFont="1" applyFill="1" applyBorder="1" applyAlignment="1" applyProtection="1">
      <alignment horizontal="center"/>
    </xf>
    <xf numFmtId="37" fontId="7" fillId="0" borderId="1" xfId="0" applyNumberFormat="1" applyFont="1" applyBorder="1" applyAlignment="1" applyProtection="1">
      <alignment horizontal="center"/>
    </xf>
    <xf numFmtId="37" fontId="3" fillId="2" borderId="6" xfId="0" applyNumberFormat="1" applyFont="1" applyFill="1" applyBorder="1" applyAlignment="1" applyProtection="1">
      <alignment horizontal="center"/>
    </xf>
    <xf numFmtId="0" fontId="8" fillId="0" borderId="0" xfId="0" applyFont="1" applyBorder="1"/>
    <xf numFmtId="37" fontId="8" fillId="0" borderId="0" xfId="0" applyNumberFormat="1" applyFont="1" applyProtection="1"/>
    <xf numFmtId="0" fontId="5" fillId="0" borderId="0" xfId="0" applyFont="1"/>
    <xf numFmtId="164" fontId="4" fillId="2" borderId="7" xfId="0" applyNumberFormat="1" applyFont="1" applyFill="1" applyBorder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Continuous"/>
    </xf>
    <xf numFmtId="179" fontId="12" fillId="0" borderId="0" xfId="0" applyNumberFormat="1" applyFont="1" applyProtection="1">
      <protection locked="0"/>
    </xf>
    <xf numFmtId="179" fontId="0" fillId="0" borderId="0" xfId="0" applyNumberFormat="1" applyProtection="1"/>
    <xf numFmtId="0" fontId="5" fillId="0" borderId="0" xfId="0" applyNumberFormat="1" applyFont="1" applyAlignment="1" applyProtection="1">
      <alignment horizontal="center"/>
    </xf>
    <xf numFmtId="180" fontId="1" fillId="2" borderId="2" xfId="0" applyNumberFormat="1" applyFont="1" applyFill="1" applyBorder="1" applyAlignment="1" applyProtection="1">
      <alignment horizontal="center"/>
    </xf>
    <xf numFmtId="0" fontId="5" fillId="0" borderId="1" xfId="0" applyNumberFormat="1" applyFont="1" applyBorder="1" applyAlignment="1" applyProtection="1">
      <alignment horizontal="center"/>
    </xf>
    <xf numFmtId="180" fontId="1" fillId="2" borderId="4" xfId="0" applyNumberFormat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3" fillId="2" borderId="3" xfId="0" applyNumberFormat="1" applyFont="1" applyFill="1" applyBorder="1" applyAlignment="1" applyProtection="1">
      <alignment horizontal="center"/>
    </xf>
    <xf numFmtId="180" fontId="8" fillId="0" borderId="0" xfId="0" applyNumberFormat="1" applyFont="1" applyProtection="1"/>
    <xf numFmtId="0" fontId="8" fillId="0" borderId="0" xfId="0" applyFont="1" applyProtection="1"/>
    <xf numFmtId="0" fontId="5" fillId="0" borderId="0" xfId="0" applyFont="1" applyAlignment="1" applyProtection="1">
      <alignment horizontal="right"/>
    </xf>
    <xf numFmtId="0" fontId="4" fillId="2" borderId="7" xfId="0" applyFont="1" applyFill="1" applyBorder="1" applyAlignment="1" applyProtection="1">
      <alignment horizontal="center"/>
    </xf>
    <xf numFmtId="0" fontId="0" fillId="0" borderId="0" xfId="0" applyProtection="1"/>
    <xf numFmtId="180" fontId="0" fillId="0" borderId="0" xfId="0" applyNumberFormat="1" applyBorder="1" applyProtection="1"/>
    <xf numFmtId="0" fontId="0" fillId="0" borderId="0" xfId="0" applyBorder="1" applyProtection="1"/>
    <xf numFmtId="0" fontId="5" fillId="0" borderId="0" xfId="0" applyFont="1" applyProtection="1"/>
    <xf numFmtId="0" fontId="3" fillId="2" borderId="3" xfId="0" applyFont="1" applyFill="1" applyBorder="1" applyAlignment="1" applyProtection="1">
      <alignment horizontal="center"/>
    </xf>
    <xf numFmtId="0" fontId="5" fillId="0" borderId="0" xfId="0" applyFont="1" applyFill="1" applyBorder="1" applyAlignment="1">
      <alignment horizontal="centerContinuous" vertical="center"/>
    </xf>
    <xf numFmtId="0" fontId="13" fillId="0" borderId="0" xfId="0" applyFont="1" applyFill="1" applyBorder="1" applyAlignment="1">
      <alignment horizontal="centerContinuous"/>
    </xf>
    <xf numFmtId="179" fontId="8" fillId="0" borderId="0" xfId="0" applyNumberFormat="1" applyFont="1" applyAlignment="1" applyProtection="1">
      <alignment horizontal="left"/>
    </xf>
    <xf numFmtId="185" fontId="1" fillId="2" borderId="2" xfId="0" applyNumberFormat="1" applyFont="1" applyFill="1" applyBorder="1" applyAlignment="1" applyProtection="1">
      <alignment horizontal="center"/>
    </xf>
    <xf numFmtId="185" fontId="1" fillId="0" borderId="0" xfId="0" applyNumberFormat="1" applyFont="1" applyFill="1" applyBorder="1" applyAlignment="1" applyProtection="1">
      <alignment horizontal="center"/>
    </xf>
    <xf numFmtId="185" fontId="9" fillId="0" borderId="0" xfId="0" applyNumberFormat="1" applyFont="1" applyFill="1" applyBorder="1" applyAlignment="1" applyProtection="1">
      <alignment horizontal="centerContinuous"/>
    </xf>
    <xf numFmtId="164" fontId="5" fillId="0" borderId="0" xfId="0" applyNumberFormat="1" applyFont="1" applyAlignment="1" applyProtection="1">
      <alignment horizontal="center"/>
    </xf>
    <xf numFmtId="3" fontId="14" fillId="0" borderId="0" xfId="0" applyNumberFormat="1" applyFont="1" applyFill="1" applyBorder="1" applyAlignment="1" applyProtection="1">
      <alignment horizontal="center"/>
    </xf>
    <xf numFmtId="37" fontId="5" fillId="0" borderId="0" xfId="0" applyNumberFormat="1" applyFont="1" applyAlignment="1" applyProtection="1">
      <alignment horizontal="center"/>
    </xf>
    <xf numFmtId="2" fontId="14" fillId="0" borderId="0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>
      <alignment horizontal="center"/>
    </xf>
    <xf numFmtId="164" fontId="8" fillId="0" borderId="0" xfId="0" applyNumberFormat="1" applyFont="1" applyProtection="1"/>
    <xf numFmtId="0" fontId="3" fillId="0" borderId="0" xfId="0" applyFont="1" applyFill="1" applyBorder="1" applyAlignment="1" applyProtection="1">
      <alignment horizontal="center"/>
    </xf>
    <xf numFmtId="3" fontId="1" fillId="2" borderId="7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8" fillId="0" borderId="0" xfId="0" applyFont="1" applyFill="1" applyBorder="1"/>
    <xf numFmtId="0" fontId="5" fillId="0" borderId="0" xfId="0" applyFon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72" fontId="5" fillId="0" borderId="0" xfId="0" applyNumberFormat="1" applyFont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72" fontId="5" fillId="0" borderId="1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172" fontId="4" fillId="2" borderId="7" xfId="0" applyNumberFormat="1" applyFont="1" applyFill="1" applyBorder="1" applyAlignment="1">
      <alignment horizontal="center"/>
    </xf>
    <xf numFmtId="0" fontId="9" fillId="0" borderId="0" xfId="0" applyFont="1" applyAlignment="1">
      <alignment horizontal="left" indent="2"/>
    </xf>
    <xf numFmtId="0" fontId="8" fillId="0" borderId="0" xfId="0" applyFont="1" applyAlignment="1">
      <alignment horizontal="left" indent="2"/>
    </xf>
    <xf numFmtId="0" fontId="8" fillId="0" borderId="0" xfId="0" applyFont="1" applyAlignment="1"/>
    <xf numFmtId="0" fontId="14" fillId="0" borderId="0" xfId="0" applyFont="1" applyAlignment="1">
      <alignment horizontal="left" indent="2"/>
    </xf>
    <xf numFmtId="0" fontId="14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0</xdr:row>
      <xdr:rowOff>0</xdr:rowOff>
    </xdr:from>
    <xdr:to>
      <xdr:col>7</xdr:col>
      <xdr:colOff>76200</xdr:colOff>
      <xdr:row>0</xdr:row>
      <xdr:rowOff>0</xdr:rowOff>
    </xdr:to>
    <xdr:sp macro="[0]!Toggle" textlink="">
      <xdr:nvSpPr>
        <xdr:cNvPr id="1066" name="Text 1"/>
        <xdr:cNvSpPr>
          <a:spLocks noChangeArrowheads="1"/>
        </xdr:cNvSpPr>
      </xdr:nvSpPr>
      <xdr:spPr bwMode="auto">
        <a:xfrm>
          <a:off x="2009775" y="0"/>
          <a:ext cx="1247775" cy="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Snookers Restaurant</a:t>
          </a:r>
        </a:p>
      </xdr:txBody>
    </xdr:sp>
    <xdr:clientData/>
  </xdr:twoCellAnchor>
  <xdr:twoCellAnchor>
    <xdr:from>
      <xdr:col>3</xdr:col>
      <xdr:colOff>358140</xdr:colOff>
      <xdr:row>0</xdr:row>
      <xdr:rowOff>0</xdr:rowOff>
    </xdr:from>
    <xdr:to>
      <xdr:col>7</xdr:col>
      <xdr:colOff>400085</xdr:colOff>
      <xdr:row>0</xdr:row>
      <xdr:rowOff>0</xdr:rowOff>
    </xdr:to>
    <xdr:sp macro="" textlink="">
      <xdr:nvSpPr>
        <xdr:cNvPr id="1067" name="Note" hidden="1"/>
        <xdr:cNvSpPr txBox="1">
          <a:spLocks noChangeArrowheads="1"/>
        </xdr:cNvSpPr>
      </xdr:nvSpPr>
      <xdr:spPr bwMode="auto">
        <a:xfrm>
          <a:off x="1962150" y="0"/>
          <a:ext cx="1609725" cy="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Minimize:    J21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By changing: C22:I22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Subject to:  C22:I22&gt;=C23:I23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J5:J20&gt;=K5:K20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C25:C26&gt;=D25:D26</a:t>
          </a:r>
        </a:p>
      </xdr:txBody>
    </xdr:sp>
    <xdr:clientData/>
  </xdr:twoCellAnchor>
  <xdr:twoCellAnchor>
    <xdr:from>
      <xdr:col>6</xdr:col>
      <xdr:colOff>358140</xdr:colOff>
      <xdr:row>0</xdr:row>
      <xdr:rowOff>0</xdr:rowOff>
    </xdr:from>
    <xdr:to>
      <xdr:col>10</xdr:col>
      <xdr:colOff>596265</xdr:colOff>
      <xdr:row>0</xdr:row>
      <xdr:rowOff>0</xdr:rowOff>
    </xdr:to>
    <xdr:sp macro="" textlink="">
      <xdr:nvSpPr>
        <xdr:cNvPr id="1071" name="Note"/>
        <xdr:cNvSpPr txBox="1">
          <a:spLocks noChangeArrowheads="1"/>
        </xdr:cNvSpPr>
      </xdr:nvSpPr>
      <xdr:spPr bwMode="auto">
        <a:xfrm>
          <a:off x="3133725" y="0"/>
          <a:ext cx="2381250" cy="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Minimize:    J21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By changing: C22:I22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Subject to:  C22:I22&gt;=C23:I23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J5:J20&gt;=K5:K20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C26:C27&gt;=D26:D27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C22:I22&gt;=0, integer</a:t>
          </a:r>
        </a:p>
      </xdr:txBody>
    </xdr:sp>
    <xdr:clientData/>
  </xdr:twoCellAnchor>
  <xdr:twoCellAnchor>
    <xdr:from>
      <xdr:col>1</xdr:col>
      <xdr:colOff>236220</xdr:colOff>
      <xdr:row>0</xdr:row>
      <xdr:rowOff>66675</xdr:rowOff>
    </xdr:from>
    <xdr:to>
      <xdr:col>7</xdr:col>
      <xdr:colOff>47619</xdr:colOff>
      <xdr:row>2</xdr:row>
      <xdr:rowOff>0</xdr:rowOff>
    </xdr:to>
    <xdr:sp macro="[2]!Toggle" textlink="">
      <xdr:nvSpPr>
        <xdr:cNvPr id="1072" name="Text 1"/>
        <xdr:cNvSpPr>
          <a:spLocks noChangeArrowheads="1"/>
        </xdr:cNvSpPr>
      </xdr:nvSpPr>
      <xdr:spPr bwMode="auto">
        <a:xfrm>
          <a:off x="1066800" y="66675"/>
          <a:ext cx="2162175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Garden City Beach</a:t>
          </a:r>
        </a:p>
      </xdr:txBody>
    </xdr:sp>
    <xdr:clientData/>
  </xdr:twoCellAnchor>
  <xdr:twoCellAnchor>
    <xdr:from>
      <xdr:col>0</xdr:col>
      <xdr:colOff>47625</xdr:colOff>
      <xdr:row>14</xdr:row>
      <xdr:rowOff>66675</xdr:rowOff>
    </xdr:from>
    <xdr:to>
      <xdr:col>5</xdr:col>
      <xdr:colOff>264784</xdr:colOff>
      <xdr:row>19</xdr:row>
      <xdr:rowOff>28575</xdr:rowOff>
    </xdr:to>
    <xdr:sp macro="" textlink="">
      <xdr:nvSpPr>
        <xdr:cNvPr id="1073" name="Note"/>
        <xdr:cNvSpPr txBox="1">
          <a:spLocks noChangeArrowheads="1"/>
        </xdr:cNvSpPr>
      </xdr:nvSpPr>
      <xdr:spPr bwMode="auto">
        <a:xfrm>
          <a:off x="47625" y="2419350"/>
          <a:ext cx="2609850" cy="8001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Minimize:    I15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By changing: I5:I11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Subject to:  B12:H12&gt;=B13:H13</a:t>
          </a:r>
        </a:p>
        <a:p>
          <a:pPr algn="l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Courier New"/>
              <a:cs typeface="Courier New"/>
            </a:rPr>
            <a:t>             I5:I11&gt;=0 &amp; integer</a:t>
          </a:r>
        </a:p>
      </xdr:txBody>
    </xdr:sp>
    <xdr:clientData/>
  </xdr:twoCellAnchor>
  <xdr:twoCellAnchor editAs="oneCell">
    <xdr:from>
      <xdr:col>0</xdr:col>
      <xdr:colOff>0</xdr:colOff>
      <xdr:row>20</xdr:row>
      <xdr:rowOff>30480</xdr:rowOff>
    </xdr:from>
    <xdr:to>
      <xdr:col>8</xdr:col>
      <xdr:colOff>640080</xdr:colOff>
      <xdr:row>34</xdr:row>
      <xdr:rowOff>129540</xdr:rowOff>
    </xdr:to>
    <xdr:pic>
      <xdr:nvPicPr>
        <xdr:cNvPr id="1135" name="Picture 7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74720"/>
          <a:ext cx="4328160" cy="2446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236220</xdr:colOff>
      <xdr:row>0</xdr:row>
      <xdr:rowOff>66675</xdr:rowOff>
    </xdr:from>
    <xdr:to>
      <xdr:col>7</xdr:col>
      <xdr:colOff>47619</xdr:colOff>
      <xdr:row>2</xdr:row>
      <xdr:rowOff>0</xdr:rowOff>
    </xdr:to>
    <xdr:sp macro="[2]!Toggle" textlink="">
      <xdr:nvSpPr>
        <xdr:cNvPr id="8196" name="Text 1"/>
        <xdr:cNvSpPr>
          <a:spLocks noChangeArrowheads="1"/>
        </xdr:cNvSpPr>
      </xdr:nvSpPr>
      <xdr:spPr bwMode="auto">
        <a:xfrm>
          <a:off x="1066800" y="66675"/>
          <a:ext cx="2162175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Garden City Beach</a:t>
          </a:r>
        </a:p>
      </xdr:txBody>
    </xdr:sp>
    <xdr:clientData/>
  </xdr:twoCellAnchor>
  <xdr:twoCellAnchor editAs="oneCell">
    <xdr:from>
      <xdr:col>0</xdr:col>
      <xdr:colOff>106680</xdr:colOff>
      <xdr:row>15</xdr:row>
      <xdr:rowOff>144780</xdr:rowOff>
    </xdr:from>
    <xdr:to>
      <xdr:col>9</xdr:col>
      <xdr:colOff>152400</xdr:colOff>
      <xdr:row>30</xdr:row>
      <xdr:rowOff>144780</xdr:rowOff>
    </xdr:to>
    <xdr:pic>
      <xdr:nvPicPr>
        <xdr:cNvPr id="8236" name="Picture 2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" y="2743200"/>
          <a:ext cx="4465320" cy="2522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0</xdr:row>
      <xdr:rowOff>68580</xdr:rowOff>
    </xdr:from>
    <xdr:to>
      <xdr:col>6</xdr:col>
      <xdr:colOff>320040</xdr:colOff>
      <xdr:row>2</xdr:row>
      <xdr:rowOff>38100</xdr:rowOff>
    </xdr:to>
    <xdr:sp macro="[4]!Toggle" textlink="">
      <xdr:nvSpPr>
        <xdr:cNvPr id="2" name="Text 1"/>
        <xdr:cNvSpPr>
          <a:spLocks noChangeArrowheads="1"/>
        </xdr:cNvSpPr>
      </xdr:nvSpPr>
      <xdr:spPr bwMode="auto">
        <a:xfrm>
          <a:off x="1981200" y="68580"/>
          <a:ext cx="2103120" cy="3048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A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Radford Castings</a:t>
          </a:r>
        </a:p>
      </xdr:txBody>
    </xdr:sp>
    <xdr:clientData/>
  </xdr:twoCellAnchor>
  <xdr:twoCellAnchor>
    <xdr:from>
      <xdr:col>2</xdr:col>
      <xdr:colOff>297180</xdr:colOff>
      <xdr:row>19</xdr:row>
      <xdr:rowOff>0</xdr:rowOff>
    </xdr:from>
    <xdr:to>
      <xdr:col>6</xdr:col>
      <xdr:colOff>502920</xdr:colOff>
      <xdr:row>24</xdr:row>
      <xdr:rowOff>129540</xdr:rowOff>
    </xdr:to>
    <xdr:sp macro="" textlink="">
      <xdr:nvSpPr>
        <xdr:cNvPr id="3" name="Note"/>
        <xdr:cNvSpPr txBox="1">
          <a:spLocks noChangeArrowheads="1"/>
        </xdr:cNvSpPr>
      </xdr:nvSpPr>
      <xdr:spPr bwMode="auto">
        <a:xfrm>
          <a:off x="1516380" y="3230880"/>
          <a:ext cx="2750820" cy="9677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34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Minimize:    F17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By changing: F6:G11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Subject to:  F12=F13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H6:H11&lt;=0 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0&lt;=F6:F11, integer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      G6:G11 binary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Fixedsys"/>
            </a:rPr>
            <a:t>      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369570</xdr:colOff>
      <xdr:row>17</xdr:row>
      <xdr:rowOff>38100</xdr:rowOff>
    </xdr:from>
    <xdr:to>
      <xdr:col>9</xdr:col>
      <xdr:colOff>57150</xdr:colOff>
      <xdr:row>24</xdr:row>
      <xdr:rowOff>57150</xdr:rowOff>
    </xdr:to>
    <xdr:sp macro="" textlink="">
      <xdr:nvSpPr>
        <xdr:cNvPr id="7169" name="Note"/>
        <xdr:cNvSpPr txBox="1">
          <a:spLocks noChangeArrowheads="1"/>
        </xdr:cNvSpPr>
      </xdr:nvSpPr>
      <xdr:spPr bwMode="auto">
        <a:xfrm>
          <a:off x="4714875" y="2914650"/>
          <a:ext cx="2933700" cy="12001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E19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C13:E15 &amp; C23:E25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C13:E15&gt;=0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C23:E25 binary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F13:F15=G13:G15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C16:E16&lt;=C17:E17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C29:E31&lt;=0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 </a:t>
          </a:r>
        </a:p>
      </xdr:txBody>
    </xdr:sp>
    <xdr:clientData/>
  </xdr:twoCellAnchor>
  <xdr:twoCellAnchor>
    <xdr:from>
      <xdr:col>1</xdr:col>
      <xdr:colOff>1078230</xdr:colOff>
      <xdr:row>0</xdr:row>
      <xdr:rowOff>47625</xdr:rowOff>
    </xdr:from>
    <xdr:to>
      <xdr:col>4</xdr:col>
      <xdr:colOff>746748</xdr:colOff>
      <xdr:row>2</xdr:row>
      <xdr:rowOff>47625</xdr:rowOff>
    </xdr:to>
    <xdr:sp macro="[1]!Toggle" textlink="">
      <xdr:nvSpPr>
        <xdr:cNvPr id="7170" name="Text 2"/>
        <xdr:cNvSpPr>
          <a:spLocks noChangeArrowheads="1"/>
        </xdr:cNvSpPr>
      </xdr:nvSpPr>
      <xdr:spPr bwMode="auto">
        <a:xfrm>
          <a:off x="1781175" y="47625"/>
          <a:ext cx="2324100" cy="3238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Tropicsun</a:t>
          </a:r>
        </a:p>
      </xdr:txBody>
    </xdr:sp>
    <xdr:clientData/>
  </xdr:twoCellAnchor>
  <xdr:twoCellAnchor editAs="oneCell">
    <xdr:from>
      <xdr:col>0</xdr:col>
      <xdr:colOff>68580</xdr:colOff>
      <xdr:row>31</xdr:row>
      <xdr:rowOff>137160</xdr:rowOff>
    </xdr:from>
    <xdr:to>
      <xdr:col>5</xdr:col>
      <xdr:colOff>45720</xdr:colOff>
      <xdr:row>46</xdr:row>
      <xdr:rowOff>144780</xdr:rowOff>
    </xdr:to>
    <xdr:pic>
      <xdr:nvPicPr>
        <xdr:cNvPr id="7227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" y="5501640"/>
          <a:ext cx="4457700" cy="2522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1059180</xdr:colOff>
      <xdr:row>0</xdr:row>
      <xdr:rowOff>95250</xdr:rowOff>
    </xdr:from>
    <xdr:to>
      <xdr:col>3</xdr:col>
      <xdr:colOff>114300</xdr:colOff>
      <xdr:row>2</xdr:row>
      <xdr:rowOff>76200</xdr:rowOff>
    </xdr:to>
    <xdr:sp macro="[3]!Toggle" textlink="">
      <xdr:nvSpPr>
        <xdr:cNvPr id="9217" name="Text 2"/>
        <xdr:cNvSpPr>
          <a:spLocks noChangeArrowheads="1"/>
        </xdr:cNvSpPr>
      </xdr:nvSpPr>
      <xdr:spPr bwMode="auto">
        <a:xfrm>
          <a:off x="1028700" y="95250"/>
          <a:ext cx="202882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0</xdr:col>
      <xdr:colOff>9525</xdr:colOff>
      <xdr:row>16</xdr:row>
      <xdr:rowOff>93345</xdr:rowOff>
    </xdr:from>
    <xdr:to>
      <xdr:col>2</xdr:col>
      <xdr:colOff>160014</xdr:colOff>
      <xdr:row>21</xdr:row>
      <xdr:rowOff>131445</xdr:rowOff>
    </xdr:to>
    <xdr:sp macro="" textlink="">
      <xdr:nvSpPr>
        <xdr:cNvPr id="9218" name="Note"/>
        <xdr:cNvSpPr txBox="1">
          <a:spLocks noChangeArrowheads="1"/>
        </xdr:cNvSpPr>
      </xdr:nvSpPr>
      <xdr:spPr bwMode="auto">
        <a:xfrm>
          <a:off x="9525" y="2733675"/>
          <a:ext cx="2266950" cy="8572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B16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B5:C5 &amp; B16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D9:D11&lt;=E9:E11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G8:G9&lt;=B16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B5:C5&gt;=0</a:t>
          </a:r>
        </a:p>
      </xdr:txBody>
    </xdr:sp>
    <xdr:clientData/>
  </xdr:twoCellAnchor>
  <xdr:twoCellAnchor editAs="oneCell">
    <xdr:from>
      <xdr:col>3</xdr:col>
      <xdr:colOff>68580</xdr:colOff>
      <xdr:row>16</xdr:row>
      <xdr:rowOff>114300</xdr:rowOff>
    </xdr:from>
    <xdr:to>
      <xdr:col>8</xdr:col>
      <xdr:colOff>723900</xdr:colOff>
      <xdr:row>31</xdr:row>
      <xdr:rowOff>121920</xdr:rowOff>
    </xdr:to>
    <xdr:pic>
      <xdr:nvPicPr>
        <xdr:cNvPr id="925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720" y="2849880"/>
          <a:ext cx="4457700" cy="25298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1028700</xdr:colOff>
      <xdr:row>0</xdr:row>
      <xdr:rowOff>95250</xdr:rowOff>
    </xdr:from>
    <xdr:to>
      <xdr:col>3</xdr:col>
      <xdr:colOff>114300</xdr:colOff>
      <xdr:row>2</xdr:row>
      <xdr:rowOff>76200</xdr:rowOff>
    </xdr:to>
    <xdr:sp macro="[3]!Toggle" textlink="">
      <xdr:nvSpPr>
        <xdr:cNvPr id="2" name="Text 2"/>
        <xdr:cNvSpPr>
          <a:spLocks noChangeArrowheads="1"/>
        </xdr:cNvSpPr>
      </xdr:nvSpPr>
      <xdr:spPr bwMode="auto">
        <a:xfrm>
          <a:off x="1028700" y="95250"/>
          <a:ext cx="202882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  <xdr:twoCellAnchor>
    <xdr:from>
      <xdr:col>2</xdr:col>
      <xdr:colOff>165735</xdr:colOff>
      <xdr:row>15</xdr:row>
      <xdr:rowOff>38100</xdr:rowOff>
    </xdr:from>
    <xdr:to>
      <xdr:col>4</xdr:col>
      <xdr:colOff>363855</xdr:colOff>
      <xdr:row>20</xdr:row>
      <xdr:rowOff>57150</xdr:rowOff>
    </xdr:to>
    <xdr:sp macro="" textlink="">
      <xdr:nvSpPr>
        <xdr:cNvPr id="3" name="Note"/>
        <xdr:cNvSpPr txBox="1">
          <a:spLocks noChangeArrowheads="1"/>
        </xdr:cNvSpPr>
      </xdr:nvSpPr>
      <xdr:spPr bwMode="auto">
        <a:xfrm>
          <a:off x="2371725" y="2505075"/>
          <a:ext cx="2667000" cy="8572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B16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B5:C5 &amp; B16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D9:D11&lt;=E9:E11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G8:G9&lt;=B16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B5:C5&gt;=0</a:t>
          </a:r>
        </a:p>
      </xdr:txBody>
    </xdr:sp>
    <xdr:clientData/>
  </xdr:twoCellAnchor>
  <xdr:twoCellAnchor>
    <xdr:from>
      <xdr:col>3</xdr:col>
      <xdr:colOff>0</xdr:colOff>
      <xdr:row>5</xdr:row>
      <xdr:rowOff>38100</xdr:rowOff>
    </xdr:from>
    <xdr:to>
      <xdr:col>4</xdr:col>
      <xdr:colOff>121920</xdr:colOff>
      <xdr:row>14</xdr:row>
      <xdr:rowOff>133350</xdr:rowOff>
    </xdr:to>
    <xdr:sp macro="" textlink="">
      <xdr:nvSpPr>
        <xdr:cNvPr id="4" name="Oval 3"/>
        <xdr:cNvSpPr/>
      </xdr:nvSpPr>
      <xdr:spPr bwMode="auto">
        <a:xfrm>
          <a:off x="3162300" y="876300"/>
          <a:ext cx="1600200" cy="1552575"/>
        </a:xfrm>
        <a:prstGeom prst="ellipse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363855</xdr:colOff>
      <xdr:row>13</xdr:row>
      <xdr:rowOff>160020</xdr:rowOff>
    </xdr:from>
    <xdr:to>
      <xdr:col>7</xdr:col>
      <xdr:colOff>127635</xdr:colOff>
      <xdr:row>17</xdr:row>
      <xdr:rowOff>76200</xdr:rowOff>
    </xdr:to>
    <xdr:sp macro="" textlink="">
      <xdr:nvSpPr>
        <xdr:cNvPr id="7" name="Line Callout 1 6"/>
        <xdr:cNvSpPr/>
      </xdr:nvSpPr>
      <xdr:spPr bwMode="auto">
        <a:xfrm>
          <a:off x="5762625" y="2286000"/>
          <a:ext cx="1524000" cy="609600"/>
        </a:xfrm>
        <a:prstGeom prst="borderCallout1">
          <a:avLst>
            <a:gd name="adj1" fmla="val 18750"/>
            <a:gd name="adj2" fmla="val -8333"/>
            <a:gd name="adj3" fmla="val -56250"/>
            <a:gd name="adj4" fmla="val -68958"/>
          </a:avLst>
        </a:prstGeom>
        <a:ln>
          <a:headEnd type="none" w="med" len="med"/>
          <a:tailEnd type="stealth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AU" sz="1100"/>
            <a:t>Can use this formula but preferable to use sumproduct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cillaries/0324312504/smp/Prb06_1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081/phlee/Documents/2018/FIT3158/FIT5097/FIT5097%20Tutorials/Tutorials/Week%204/files%20to%20upload/Prb06_06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081/phlee/Documents/2018/FIT3158/FIT5097/FIT5097%20Tutorials/Tutorials/Week%204/files%20to%20upload/Prb07_1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081/phlee/Documents/2018/FIT3158/For%20Mary/For%20Mary/FIT2017/Lectures/Week%205%20ILP/FIT2017%20Tutorial%205%20Solu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Transportation Plan"/>
      <sheetName val="Prb06_14"/>
    </sheetNames>
    <definedNames>
      <definedName name="Toggle"/>
    </definedNames>
    <sheetDataSet>
      <sheetData sheetId="0" refreshError="1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Scheduling Report"/>
      <sheetName val="Scheduling Report - d"/>
      <sheetName val="Prb06_06"/>
    </sheetNames>
    <definedNames>
      <definedName name="Toggl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Production Report"/>
      <sheetName val="Prb07_12"/>
    </sheetNames>
    <definedNames>
      <definedName name="Toggle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exercise3"/>
      <sheetName val="exercise4"/>
    </sheetNames>
    <definedNames>
      <definedName name="Toggl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21"/>
  <sheetViews>
    <sheetView tabSelected="1" workbookViewId="0">
      <selection activeCell="I15" sqref="I15"/>
    </sheetView>
  </sheetViews>
  <sheetFormatPr defaultColWidth="9.6640625" defaultRowHeight="13.2" x14ac:dyDescent="0.25"/>
  <cols>
    <col min="1" max="1" width="12.5546875" customWidth="1"/>
    <col min="2" max="8" width="5.88671875" customWidth="1"/>
    <col min="9" max="9" width="10.6640625" bestFit="1" customWidth="1"/>
  </cols>
  <sheetData>
    <row r="1" spans="1:14" x14ac:dyDescent="0.25">
      <c r="A1" s="4"/>
      <c r="B1" s="4"/>
      <c r="C1" s="5"/>
      <c r="D1" s="29"/>
      <c r="E1" s="29"/>
      <c r="F1" s="29"/>
      <c r="G1" s="29"/>
      <c r="H1" s="4"/>
      <c r="I1" s="4"/>
      <c r="J1" s="4"/>
      <c r="L1" s="30"/>
      <c r="M1" s="30"/>
      <c r="N1" s="30"/>
    </row>
    <row r="2" spans="1:14" ht="1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L2" s="31"/>
      <c r="M2" s="31"/>
      <c r="N2" s="31"/>
    </row>
    <row r="3" spans="1:14" ht="15" customHeight="1" x14ac:dyDescent="0.25">
      <c r="A3" s="26"/>
      <c r="B3" s="6" t="s">
        <v>22</v>
      </c>
      <c r="C3" s="7"/>
      <c r="D3" s="5"/>
      <c r="E3" s="5"/>
      <c r="F3" s="5"/>
      <c r="G3" s="5"/>
      <c r="H3" s="5"/>
      <c r="I3" s="15" t="s">
        <v>1</v>
      </c>
      <c r="J3" s="4"/>
      <c r="L3" s="31"/>
      <c r="M3" s="31"/>
      <c r="N3" s="31"/>
    </row>
    <row r="4" spans="1:14" ht="13.8" thickBot="1" x14ac:dyDescent="0.3">
      <c r="A4" s="10" t="s">
        <v>23</v>
      </c>
      <c r="B4" s="10" t="s">
        <v>24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4"/>
      <c r="L4" s="31"/>
      <c r="M4" s="31"/>
      <c r="N4" s="31"/>
    </row>
    <row r="5" spans="1:14" x14ac:dyDescent="0.25">
      <c r="A5" s="15" t="s">
        <v>32</v>
      </c>
      <c r="B5" s="32">
        <v>0</v>
      </c>
      <c r="C5" s="32">
        <v>0</v>
      </c>
      <c r="D5" s="32">
        <v>1</v>
      </c>
      <c r="E5" s="32">
        <v>1</v>
      </c>
      <c r="F5" s="32">
        <v>1</v>
      </c>
      <c r="G5" s="32">
        <v>1</v>
      </c>
      <c r="H5" s="32">
        <v>1</v>
      </c>
      <c r="I5" s="33">
        <v>5</v>
      </c>
      <c r="J5" s="4"/>
      <c r="L5" s="31"/>
      <c r="M5" s="31"/>
      <c r="N5" s="31"/>
    </row>
    <row r="6" spans="1:14" x14ac:dyDescent="0.25">
      <c r="A6" s="15" t="s">
        <v>33</v>
      </c>
      <c r="B6" s="32">
        <v>1</v>
      </c>
      <c r="C6" s="32">
        <v>0</v>
      </c>
      <c r="D6" s="32">
        <v>0</v>
      </c>
      <c r="E6" s="32">
        <v>1</v>
      </c>
      <c r="F6" s="32">
        <v>1</v>
      </c>
      <c r="G6" s="32">
        <v>1</v>
      </c>
      <c r="H6" s="32">
        <v>1</v>
      </c>
      <c r="I6" s="33">
        <v>1</v>
      </c>
      <c r="J6" s="4"/>
      <c r="L6" s="31"/>
      <c r="M6" s="31"/>
      <c r="N6" s="31"/>
    </row>
    <row r="7" spans="1:14" x14ac:dyDescent="0.25">
      <c r="A7" s="15" t="s">
        <v>34</v>
      </c>
      <c r="B7" s="32">
        <v>1</v>
      </c>
      <c r="C7" s="32">
        <v>1</v>
      </c>
      <c r="D7" s="32">
        <v>0</v>
      </c>
      <c r="E7" s="32">
        <v>0</v>
      </c>
      <c r="F7" s="32">
        <v>1</v>
      </c>
      <c r="G7" s="32">
        <v>1</v>
      </c>
      <c r="H7" s="32">
        <v>1</v>
      </c>
      <c r="I7" s="33">
        <v>5</v>
      </c>
      <c r="J7" s="4"/>
      <c r="L7" s="31"/>
      <c r="M7" s="31"/>
      <c r="N7" s="31"/>
    </row>
    <row r="8" spans="1:14" x14ac:dyDescent="0.25">
      <c r="A8" s="15" t="s">
        <v>35</v>
      </c>
      <c r="B8" s="32">
        <v>1</v>
      </c>
      <c r="C8" s="32">
        <v>1</v>
      </c>
      <c r="D8" s="32">
        <v>1</v>
      </c>
      <c r="E8" s="32">
        <v>0</v>
      </c>
      <c r="F8" s="32">
        <v>0</v>
      </c>
      <c r="G8" s="32">
        <v>1</v>
      </c>
      <c r="H8" s="32">
        <v>1</v>
      </c>
      <c r="I8" s="33">
        <v>2.9999999999953402</v>
      </c>
      <c r="J8" s="4"/>
      <c r="L8" s="30"/>
      <c r="M8" s="30"/>
      <c r="N8" s="30"/>
    </row>
    <row r="9" spans="1:14" x14ac:dyDescent="0.25">
      <c r="A9" s="15" t="s">
        <v>36</v>
      </c>
      <c r="B9" s="32">
        <v>1</v>
      </c>
      <c r="C9" s="32">
        <v>1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33">
        <v>4.9999999999999991</v>
      </c>
      <c r="J9" s="4"/>
      <c r="L9" s="31"/>
      <c r="M9" s="31"/>
      <c r="N9" s="31"/>
    </row>
    <row r="10" spans="1:14" x14ac:dyDescent="0.25">
      <c r="A10" s="15" t="s">
        <v>37</v>
      </c>
      <c r="B10" s="32">
        <v>1</v>
      </c>
      <c r="C10" s="32">
        <v>1</v>
      </c>
      <c r="D10" s="32">
        <v>1</v>
      </c>
      <c r="E10" s="32">
        <v>1</v>
      </c>
      <c r="F10" s="32">
        <v>1</v>
      </c>
      <c r="G10" s="32">
        <v>0</v>
      </c>
      <c r="H10" s="32">
        <v>0</v>
      </c>
      <c r="I10" s="33">
        <v>4.0000000000046612</v>
      </c>
      <c r="J10" s="4"/>
      <c r="L10" s="31"/>
      <c r="M10" s="31"/>
      <c r="N10" s="31"/>
    </row>
    <row r="11" spans="1:14" ht="13.8" thickBot="1" x14ac:dyDescent="0.3">
      <c r="A11" s="10" t="s">
        <v>38</v>
      </c>
      <c r="B11" s="34">
        <v>0</v>
      </c>
      <c r="C11" s="34">
        <v>1</v>
      </c>
      <c r="D11" s="34">
        <v>1</v>
      </c>
      <c r="E11" s="34">
        <v>1</v>
      </c>
      <c r="F11" s="34">
        <v>1</v>
      </c>
      <c r="G11" s="34">
        <v>1</v>
      </c>
      <c r="H11" s="34">
        <v>0</v>
      </c>
      <c r="I11" s="35">
        <v>0.99999999999533917</v>
      </c>
      <c r="J11" s="4"/>
      <c r="L11" s="31"/>
      <c r="M11" s="31"/>
      <c r="N11" s="31"/>
    </row>
    <row r="12" spans="1:14" x14ac:dyDescent="0.25">
      <c r="A12" s="36" t="s">
        <v>2</v>
      </c>
      <c r="B12" s="37">
        <f>SUMPRODUCT(B5:B11,$I$5:$I$11)</f>
        <v>18</v>
      </c>
      <c r="C12" s="37">
        <f t="shared" ref="C12:H12" si="0">SUMPRODUCT(C5:C11,$I$5:$I$11)</f>
        <v>17.999999999995339</v>
      </c>
      <c r="D12" s="37">
        <f t="shared" si="0"/>
        <v>17.999999999995339</v>
      </c>
      <c r="E12" s="37">
        <f t="shared" si="0"/>
        <v>16</v>
      </c>
      <c r="F12" s="37">
        <f t="shared" si="0"/>
        <v>16</v>
      </c>
      <c r="G12" s="37">
        <f t="shared" si="0"/>
        <v>14.999999999990679</v>
      </c>
      <c r="H12" s="37">
        <f t="shared" si="0"/>
        <v>18.999999999995339</v>
      </c>
      <c r="J12" s="4"/>
      <c r="L12" s="31"/>
      <c r="M12" s="31"/>
      <c r="N12" s="31"/>
    </row>
    <row r="13" spans="1:14" x14ac:dyDescent="0.25">
      <c r="A13" s="36" t="s">
        <v>39</v>
      </c>
      <c r="B13" s="32">
        <v>18</v>
      </c>
      <c r="C13" s="32">
        <v>17</v>
      </c>
      <c r="D13" s="32">
        <v>16</v>
      </c>
      <c r="E13" s="32">
        <v>16</v>
      </c>
      <c r="F13" s="32">
        <v>16</v>
      </c>
      <c r="G13" s="32">
        <v>14</v>
      </c>
      <c r="H13" s="32">
        <v>19</v>
      </c>
      <c r="I13" s="4"/>
      <c r="J13" s="4"/>
      <c r="L13" s="31"/>
      <c r="M13" s="31"/>
      <c r="N13" s="31"/>
    </row>
    <row r="14" spans="1:14" ht="13.8" thickBot="1" x14ac:dyDescent="0.3">
      <c r="A14" s="4"/>
      <c r="B14" s="4"/>
      <c r="C14" s="4"/>
      <c r="D14" s="4"/>
      <c r="E14" s="4"/>
      <c r="F14" s="4"/>
      <c r="G14" s="4"/>
      <c r="H14" s="4"/>
      <c r="I14" s="38"/>
      <c r="J14" s="4"/>
      <c r="L14" s="31"/>
      <c r="M14" s="31"/>
      <c r="N14" s="31"/>
    </row>
    <row r="15" spans="1:14" ht="14.4" thickTop="1" thickBot="1" x14ac:dyDescent="0.3">
      <c r="A15" s="4"/>
      <c r="B15" s="39"/>
      <c r="C15" s="39"/>
      <c r="D15" s="39"/>
      <c r="E15" s="39"/>
      <c r="F15" s="39"/>
      <c r="G15" s="39"/>
      <c r="H15" s="40" t="s">
        <v>40</v>
      </c>
      <c r="I15" s="41">
        <f>SUM(I5:I11)</f>
        <v>23.999999999995339</v>
      </c>
      <c r="J15" s="4"/>
      <c r="L15" s="30"/>
      <c r="M15" s="30"/>
      <c r="N15" s="30"/>
    </row>
    <row r="16" spans="1:14" ht="13.8" thickTop="1" x14ac:dyDescent="0.25">
      <c r="A16" s="4"/>
      <c r="B16" s="39"/>
      <c r="C16" s="39"/>
      <c r="D16" s="39"/>
      <c r="E16" s="39"/>
      <c r="F16" s="39"/>
      <c r="G16" s="39"/>
      <c r="H16" s="39"/>
      <c r="I16" s="38"/>
      <c r="J16" s="4"/>
    </row>
    <row r="17" spans="1:10" x14ac:dyDescent="0.25">
      <c r="A17" s="4"/>
      <c r="B17" s="39"/>
      <c r="C17" s="39"/>
      <c r="D17" s="39"/>
      <c r="E17" s="39"/>
      <c r="F17" s="39"/>
      <c r="G17" s="39"/>
      <c r="H17" s="39"/>
      <c r="I17" s="38"/>
      <c r="J17" s="4"/>
    </row>
    <row r="18" spans="1:10" x14ac:dyDescent="0.25">
      <c r="A18" s="4"/>
      <c r="B18" s="39"/>
      <c r="C18" s="39"/>
      <c r="D18" s="39"/>
      <c r="E18" s="39"/>
      <c r="F18" s="39"/>
      <c r="G18" s="39"/>
      <c r="H18" s="39"/>
      <c r="I18" s="38"/>
      <c r="J18" s="4"/>
    </row>
    <row r="19" spans="1:10" x14ac:dyDescent="0.25">
      <c r="A19" s="4"/>
      <c r="B19" s="39"/>
      <c r="C19" s="39"/>
      <c r="D19" s="39"/>
      <c r="E19" s="39"/>
      <c r="F19" s="39"/>
      <c r="G19" s="39"/>
      <c r="H19" s="39"/>
      <c r="J19" s="4"/>
    </row>
    <row r="20" spans="1:10" x14ac:dyDescent="0.25">
      <c r="B20" s="42"/>
      <c r="C20" s="42"/>
      <c r="D20" s="42"/>
      <c r="E20" s="42"/>
      <c r="F20" s="42"/>
      <c r="G20" s="42"/>
      <c r="H20" s="42"/>
      <c r="I20" s="43"/>
    </row>
    <row r="21" spans="1:10" x14ac:dyDescent="0.25">
      <c r="B21" s="44"/>
      <c r="C21" s="44"/>
      <c r="D21" s="44"/>
      <c r="E21" s="44"/>
      <c r="F21" s="44"/>
      <c r="G21" s="44"/>
      <c r="H21" s="44"/>
    </row>
  </sheetData>
  <phoneticPr fontId="6" type="noConversion"/>
  <printOptions headings="1"/>
  <pageMargins left="0.74803149606299213" right="0.74803149606299213" top="0.98425196850393704" bottom="0.98425196850393704" header="0.51181102362204722" footer="0.51181102362204722"/>
  <pageSetup orientation="portrait" horizontalDpi="300" verticalDpi="300" r:id="rId1"/>
  <headerFooter alignWithMargins="0">
    <oddHeader>&amp;L&amp;F&amp;C&amp;A</oddHead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21"/>
  <sheetViews>
    <sheetView workbookViewId="0">
      <selection activeCell="M1" sqref="M1"/>
    </sheetView>
  </sheetViews>
  <sheetFormatPr defaultColWidth="9.6640625" defaultRowHeight="13.2" x14ac:dyDescent="0.25"/>
  <cols>
    <col min="1" max="1" width="12.5546875" customWidth="1"/>
    <col min="2" max="8" width="5.88671875" customWidth="1"/>
    <col min="9" max="9" width="10.6640625" bestFit="1" customWidth="1"/>
  </cols>
  <sheetData>
    <row r="1" spans="1:14" x14ac:dyDescent="0.25">
      <c r="A1" s="4"/>
      <c r="B1" s="4"/>
      <c r="C1" s="5"/>
      <c r="D1" s="29"/>
      <c r="E1" s="29"/>
      <c r="F1" s="29"/>
      <c r="G1" s="29"/>
      <c r="H1" s="4"/>
      <c r="I1" s="4"/>
      <c r="J1" s="4"/>
      <c r="L1" s="30"/>
      <c r="M1" s="30"/>
      <c r="N1" s="30"/>
    </row>
    <row r="2" spans="1:14" ht="1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L2" s="31"/>
      <c r="M2" s="31"/>
      <c r="N2" s="31"/>
    </row>
    <row r="3" spans="1:14" ht="15" customHeight="1" x14ac:dyDescent="0.25">
      <c r="A3" s="26"/>
      <c r="B3" s="6" t="s">
        <v>22</v>
      </c>
      <c r="C3" s="7"/>
      <c r="D3" s="5"/>
      <c r="E3" s="5"/>
      <c r="F3" s="5"/>
      <c r="G3" s="5"/>
      <c r="H3" s="5"/>
      <c r="I3" s="15" t="s">
        <v>1</v>
      </c>
      <c r="J3" s="4"/>
      <c r="L3" s="31"/>
      <c r="M3" s="31"/>
      <c r="N3" s="31"/>
    </row>
    <row r="4" spans="1:14" ht="13.8" thickBot="1" x14ac:dyDescent="0.3">
      <c r="A4" s="10" t="s">
        <v>23</v>
      </c>
      <c r="B4" s="10" t="s">
        <v>24</v>
      </c>
      <c r="C4" s="10" t="s">
        <v>25</v>
      </c>
      <c r="D4" s="10" t="s">
        <v>26</v>
      </c>
      <c r="E4" s="10" t="s">
        <v>27</v>
      </c>
      <c r="F4" s="10" t="s">
        <v>28</v>
      </c>
      <c r="G4" s="10" t="s">
        <v>29</v>
      </c>
      <c r="H4" s="10" t="s">
        <v>30</v>
      </c>
      <c r="I4" s="10" t="s">
        <v>31</v>
      </c>
      <c r="J4" s="4"/>
      <c r="L4" s="31"/>
      <c r="M4" s="31"/>
      <c r="N4" s="31"/>
    </row>
    <row r="5" spans="1:14" x14ac:dyDescent="0.25">
      <c r="A5" s="15" t="s">
        <v>32</v>
      </c>
      <c r="B5" s="32">
        <v>0</v>
      </c>
      <c r="C5" s="32">
        <v>0</v>
      </c>
      <c r="D5" s="32">
        <v>1</v>
      </c>
      <c r="E5" s="32">
        <v>1</v>
      </c>
      <c r="F5" s="32">
        <v>1</v>
      </c>
      <c r="G5" s="32">
        <v>1</v>
      </c>
      <c r="H5" s="32">
        <v>1</v>
      </c>
      <c r="I5" s="33">
        <v>3.0000000000000004</v>
      </c>
      <c r="J5" s="4"/>
      <c r="L5" s="31"/>
      <c r="M5" s="31"/>
      <c r="N5" s="31"/>
    </row>
    <row r="6" spans="1:14" x14ac:dyDescent="0.25">
      <c r="A6" s="15" t="s">
        <v>33</v>
      </c>
      <c r="B6" s="32">
        <v>1</v>
      </c>
      <c r="C6" s="32">
        <v>0</v>
      </c>
      <c r="D6" s="32">
        <v>0</v>
      </c>
      <c r="E6" s="32">
        <v>1</v>
      </c>
      <c r="F6" s="32">
        <v>1</v>
      </c>
      <c r="G6" s="32">
        <v>1</v>
      </c>
      <c r="H6" s="32">
        <v>1</v>
      </c>
      <c r="I6" s="33">
        <v>4</v>
      </c>
      <c r="J6" s="4"/>
      <c r="L6" s="31"/>
      <c r="M6" s="31"/>
      <c r="N6" s="31"/>
    </row>
    <row r="7" spans="1:14" x14ac:dyDescent="0.25">
      <c r="A7" s="15" t="s">
        <v>34</v>
      </c>
      <c r="B7" s="32">
        <v>1</v>
      </c>
      <c r="C7" s="32">
        <v>1</v>
      </c>
      <c r="D7" s="32">
        <v>0</v>
      </c>
      <c r="E7" s="32">
        <v>0</v>
      </c>
      <c r="F7" s="32">
        <v>1</v>
      </c>
      <c r="G7" s="32">
        <v>1</v>
      </c>
      <c r="H7" s="32">
        <v>1</v>
      </c>
      <c r="I7" s="33">
        <v>4</v>
      </c>
      <c r="J7" s="4"/>
      <c r="L7" s="31"/>
      <c r="M7" s="31"/>
      <c r="N7" s="31"/>
    </row>
    <row r="8" spans="1:14" x14ac:dyDescent="0.25">
      <c r="A8" s="15" t="s">
        <v>35</v>
      </c>
      <c r="B8" s="32">
        <v>1</v>
      </c>
      <c r="C8" s="32">
        <v>1</v>
      </c>
      <c r="D8" s="32">
        <v>1</v>
      </c>
      <c r="E8" s="32">
        <v>0</v>
      </c>
      <c r="F8" s="32">
        <v>0</v>
      </c>
      <c r="G8" s="32">
        <v>1</v>
      </c>
      <c r="H8" s="32">
        <v>1</v>
      </c>
      <c r="I8" s="33">
        <v>4</v>
      </c>
      <c r="J8" s="4"/>
      <c r="L8" s="30"/>
      <c r="M8" s="30"/>
      <c r="N8" s="30"/>
    </row>
    <row r="9" spans="1:14" x14ac:dyDescent="0.25">
      <c r="A9" s="15" t="s">
        <v>36</v>
      </c>
      <c r="B9" s="32">
        <v>1</v>
      </c>
      <c r="C9" s="32">
        <v>1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33">
        <v>4</v>
      </c>
      <c r="J9" s="4"/>
      <c r="L9" s="31"/>
      <c r="M9" s="31"/>
      <c r="N9" s="31"/>
    </row>
    <row r="10" spans="1:14" x14ac:dyDescent="0.25">
      <c r="A10" s="15" t="s">
        <v>37</v>
      </c>
      <c r="B10" s="32">
        <v>1</v>
      </c>
      <c r="C10" s="32">
        <v>1</v>
      </c>
      <c r="D10" s="32">
        <v>1</v>
      </c>
      <c r="E10" s="32">
        <v>1</v>
      </c>
      <c r="F10" s="32">
        <v>1</v>
      </c>
      <c r="G10" s="32">
        <v>0</v>
      </c>
      <c r="H10" s="32">
        <v>0</v>
      </c>
      <c r="I10" s="33">
        <v>2.0000000000000004</v>
      </c>
      <c r="J10" s="4"/>
      <c r="L10" s="31"/>
      <c r="M10" s="31"/>
      <c r="N10" s="31"/>
    </row>
    <row r="11" spans="1:14" ht="13.8" thickBot="1" x14ac:dyDescent="0.3">
      <c r="A11" s="10" t="s">
        <v>38</v>
      </c>
      <c r="B11" s="34">
        <v>0</v>
      </c>
      <c r="C11" s="34">
        <v>1</v>
      </c>
      <c r="D11" s="34">
        <v>1</v>
      </c>
      <c r="E11" s="34">
        <v>1</v>
      </c>
      <c r="F11" s="34">
        <v>1</v>
      </c>
      <c r="G11" s="34">
        <v>1</v>
      </c>
      <c r="H11" s="34">
        <v>0</v>
      </c>
      <c r="I11" s="35">
        <v>2.9999999999999996</v>
      </c>
      <c r="J11" s="4"/>
      <c r="L11" s="31"/>
      <c r="M11" s="31"/>
      <c r="N11" s="31"/>
    </row>
    <row r="12" spans="1:14" x14ac:dyDescent="0.25">
      <c r="A12" s="36" t="s">
        <v>2</v>
      </c>
      <c r="B12" s="37">
        <f t="shared" ref="B12:H12" si="0">SUMPRODUCT(B5:B11,$I$5:$I$11)</f>
        <v>18</v>
      </c>
      <c r="C12" s="37">
        <f t="shared" si="0"/>
        <v>17</v>
      </c>
      <c r="D12" s="37">
        <f t="shared" si="0"/>
        <v>16</v>
      </c>
      <c r="E12" s="37">
        <f t="shared" si="0"/>
        <v>16</v>
      </c>
      <c r="F12" s="37">
        <f t="shared" si="0"/>
        <v>16</v>
      </c>
      <c r="G12" s="37">
        <f t="shared" si="0"/>
        <v>18</v>
      </c>
      <c r="H12" s="37">
        <f t="shared" si="0"/>
        <v>19</v>
      </c>
      <c r="J12" s="4"/>
      <c r="L12" s="31"/>
      <c r="M12" s="31"/>
      <c r="N12" s="31"/>
    </row>
    <row r="13" spans="1:14" x14ac:dyDescent="0.25">
      <c r="A13" s="36" t="s">
        <v>39</v>
      </c>
      <c r="B13" s="32">
        <v>18</v>
      </c>
      <c r="C13" s="32">
        <v>17</v>
      </c>
      <c r="D13" s="32">
        <v>16</v>
      </c>
      <c r="E13" s="32">
        <v>16</v>
      </c>
      <c r="F13" s="32">
        <v>16</v>
      </c>
      <c r="G13" s="32">
        <v>14</v>
      </c>
      <c r="H13" s="32">
        <v>19</v>
      </c>
      <c r="I13" s="4"/>
      <c r="J13" s="4"/>
      <c r="L13" s="31"/>
      <c r="M13" s="31"/>
      <c r="N13" s="31"/>
    </row>
    <row r="14" spans="1:14" ht="13.8" thickBot="1" x14ac:dyDescent="0.3">
      <c r="A14" s="4"/>
      <c r="B14" s="4"/>
      <c r="C14" s="4"/>
      <c r="D14" s="4"/>
      <c r="E14" s="4"/>
      <c r="F14" s="4"/>
      <c r="G14" s="4"/>
      <c r="H14" s="4"/>
      <c r="I14" s="38"/>
      <c r="J14" s="4"/>
      <c r="L14" s="31"/>
      <c r="M14" s="31"/>
      <c r="N14" s="31"/>
    </row>
    <row r="15" spans="1:14" ht="14.4" thickTop="1" thickBot="1" x14ac:dyDescent="0.3">
      <c r="A15" s="4"/>
      <c r="B15" s="45" t="s">
        <v>41</v>
      </c>
      <c r="C15" s="39"/>
      <c r="D15" s="39"/>
      <c r="E15" s="41">
        <f>I11</f>
        <v>2.9999999999999996</v>
      </c>
      <c r="F15" s="39"/>
      <c r="G15" s="39"/>
      <c r="H15" s="40" t="s">
        <v>40</v>
      </c>
      <c r="I15" s="46">
        <f>SUM(I5:I11)</f>
        <v>24</v>
      </c>
      <c r="J15" s="4"/>
      <c r="L15" s="30"/>
      <c r="M15" s="30"/>
      <c r="N15" s="30"/>
    </row>
    <row r="16" spans="1:14" ht="13.8" thickTop="1" x14ac:dyDescent="0.25">
      <c r="A16" s="4"/>
      <c r="B16" s="39"/>
      <c r="C16" s="39"/>
      <c r="D16" s="39"/>
      <c r="E16" s="39"/>
      <c r="F16" s="39"/>
      <c r="G16" s="39"/>
      <c r="H16" s="39"/>
      <c r="I16" s="38"/>
      <c r="J16" s="4"/>
    </row>
    <row r="17" spans="1:10" x14ac:dyDescent="0.25">
      <c r="A17" s="4"/>
      <c r="B17" s="39"/>
      <c r="C17" s="39"/>
      <c r="D17" s="39"/>
      <c r="E17" s="39"/>
      <c r="F17" s="39"/>
      <c r="G17" s="39"/>
      <c r="H17" s="39"/>
      <c r="I17" s="38"/>
      <c r="J17" s="4"/>
    </row>
    <row r="18" spans="1:10" x14ac:dyDescent="0.25">
      <c r="A18" s="4"/>
      <c r="B18" s="39"/>
      <c r="C18" s="39"/>
      <c r="D18" s="39"/>
      <c r="E18" s="39"/>
      <c r="F18" s="39"/>
      <c r="G18" s="39"/>
      <c r="H18" s="39"/>
      <c r="I18" s="38"/>
      <c r="J18" s="4"/>
    </row>
    <row r="19" spans="1:10" x14ac:dyDescent="0.25">
      <c r="A19" s="4"/>
      <c r="B19" s="39"/>
      <c r="C19" s="39"/>
      <c r="D19" s="39"/>
      <c r="E19" s="39"/>
      <c r="F19" s="39"/>
      <c r="G19" s="39"/>
      <c r="H19" s="39"/>
      <c r="J19" s="4"/>
    </row>
    <row r="20" spans="1:10" x14ac:dyDescent="0.25">
      <c r="B20" s="42"/>
      <c r="C20" s="42"/>
      <c r="D20" s="42"/>
      <c r="E20" s="42"/>
      <c r="F20" s="42"/>
      <c r="G20" s="42"/>
      <c r="H20" s="42"/>
      <c r="I20" s="43"/>
    </row>
    <row r="21" spans="1:10" x14ac:dyDescent="0.25">
      <c r="B21" s="44"/>
      <c r="C21" s="44"/>
      <c r="D21" s="44"/>
      <c r="E21" s="44"/>
      <c r="F21" s="44"/>
      <c r="G21" s="44"/>
      <c r="H21" s="44"/>
    </row>
  </sheetData>
  <phoneticPr fontId="6" type="noConversion"/>
  <printOptions headings="1"/>
  <pageMargins left="0.74803149606299213" right="0.74803149606299213" top="0.98425196850393704" bottom="0.98425196850393704" header="0.51181102362204722" footer="0.51181102362204722"/>
  <pageSetup orientation="portrait" horizontalDpi="300" verticalDpi="300" r:id="rId1"/>
  <headerFooter alignWithMargins="0">
    <oddHeader>&amp;L&amp;F&amp;C&amp;A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H40"/>
  <sheetViews>
    <sheetView workbookViewId="0">
      <selection activeCell="I28" sqref="I28"/>
    </sheetView>
  </sheetViews>
  <sheetFormatPr defaultRowHeight="13.2" x14ac:dyDescent="0.25"/>
  <cols>
    <col min="3" max="3" width="11" customWidth="1"/>
    <col min="4" max="4" width="8.6640625" customWidth="1"/>
    <col min="5" max="5" width="8.88671875" customWidth="1"/>
    <col min="6" max="6" width="8.5546875" customWidth="1"/>
    <col min="7" max="7" width="8.6640625" customWidth="1"/>
    <col min="8" max="8" width="10.109375" customWidth="1"/>
  </cols>
  <sheetData>
    <row r="4" spans="2:8" x14ac:dyDescent="0.25">
      <c r="B4" s="26"/>
      <c r="C4" s="63"/>
      <c r="D4" s="63" t="s">
        <v>60</v>
      </c>
      <c r="E4" s="63"/>
      <c r="F4" s="26"/>
      <c r="G4" s="63" t="s">
        <v>61</v>
      </c>
      <c r="H4" s="63" t="s">
        <v>3</v>
      </c>
    </row>
    <row r="5" spans="2:8" ht="13.8" thickBot="1" x14ac:dyDescent="0.3">
      <c r="B5" s="64" t="s">
        <v>62</v>
      </c>
      <c r="C5" s="65" t="s">
        <v>63</v>
      </c>
      <c r="D5" s="65" t="s">
        <v>64</v>
      </c>
      <c r="E5" s="65" t="s">
        <v>5</v>
      </c>
      <c r="F5" s="64" t="s">
        <v>65</v>
      </c>
      <c r="G5" s="65" t="s">
        <v>60</v>
      </c>
      <c r="H5" s="65" t="s">
        <v>4</v>
      </c>
    </row>
    <row r="6" spans="2:8" x14ac:dyDescent="0.25">
      <c r="B6" s="63">
        <v>1</v>
      </c>
      <c r="C6" s="66">
        <v>1000</v>
      </c>
      <c r="D6" s="66">
        <v>21</v>
      </c>
      <c r="E6" s="63">
        <v>500</v>
      </c>
      <c r="F6" s="67">
        <v>500</v>
      </c>
      <c r="G6" s="68">
        <v>1</v>
      </c>
      <c r="H6" s="69">
        <f t="shared" ref="H6:H11" si="0">F6-E6*G6</f>
        <v>0</v>
      </c>
    </row>
    <row r="7" spans="2:8" x14ac:dyDescent="0.25">
      <c r="B7" s="63">
        <v>2</v>
      </c>
      <c r="C7" s="66">
        <v>950</v>
      </c>
      <c r="D7" s="66">
        <v>23</v>
      </c>
      <c r="E7" s="63">
        <v>600</v>
      </c>
      <c r="F7" s="67">
        <v>600</v>
      </c>
      <c r="G7" s="68">
        <v>1</v>
      </c>
      <c r="H7" s="69">
        <f t="shared" si="0"/>
        <v>0</v>
      </c>
    </row>
    <row r="8" spans="2:8" x14ac:dyDescent="0.25">
      <c r="B8" s="63">
        <v>3</v>
      </c>
      <c r="C8" s="66">
        <v>875</v>
      </c>
      <c r="D8" s="66">
        <v>25</v>
      </c>
      <c r="E8" s="63">
        <v>750</v>
      </c>
      <c r="F8" s="67">
        <v>0</v>
      </c>
      <c r="G8" s="68">
        <v>0</v>
      </c>
      <c r="H8" s="69">
        <f t="shared" si="0"/>
        <v>0</v>
      </c>
    </row>
    <row r="9" spans="2:8" x14ac:dyDescent="0.25">
      <c r="B9" s="63">
        <v>4</v>
      </c>
      <c r="C9" s="66">
        <v>850</v>
      </c>
      <c r="D9" s="66">
        <v>24</v>
      </c>
      <c r="E9" s="63">
        <v>400</v>
      </c>
      <c r="F9" s="67">
        <v>100</v>
      </c>
      <c r="G9" s="68">
        <v>1</v>
      </c>
      <c r="H9" s="69">
        <f t="shared" si="0"/>
        <v>-300</v>
      </c>
    </row>
    <row r="10" spans="2:8" x14ac:dyDescent="0.25">
      <c r="B10" s="63">
        <v>5</v>
      </c>
      <c r="C10" s="66">
        <v>800</v>
      </c>
      <c r="D10" s="66">
        <v>20</v>
      </c>
      <c r="E10" s="63">
        <v>600</v>
      </c>
      <c r="F10" s="67">
        <v>600</v>
      </c>
      <c r="G10" s="68">
        <v>1</v>
      </c>
      <c r="H10" s="69">
        <f t="shared" si="0"/>
        <v>0</v>
      </c>
    </row>
    <row r="11" spans="2:8" ht="13.8" thickBot="1" x14ac:dyDescent="0.3">
      <c r="B11" s="65">
        <v>6</v>
      </c>
      <c r="C11" s="70">
        <v>700</v>
      </c>
      <c r="D11" s="70">
        <v>26</v>
      </c>
      <c r="E11" s="65">
        <v>800</v>
      </c>
      <c r="F11" s="71">
        <v>0</v>
      </c>
      <c r="G11" s="72">
        <v>0</v>
      </c>
      <c r="H11" s="73">
        <f t="shared" si="0"/>
        <v>0</v>
      </c>
    </row>
    <row r="12" spans="2:8" x14ac:dyDescent="0.25">
      <c r="E12" s="26" t="s">
        <v>0</v>
      </c>
      <c r="F12" s="74">
        <f>SUM(F6:F11)</f>
        <v>1800</v>
      </c>
    </row>
    <row r="13" spans="2:8" x14ac:dyDescent="0.25">
      <c r="E13" s="26" t="s">
        <v>66</v>
      </c>
      <c r="F13" s="75">
        <v>1800</v>
      </c>
    </row>
    <row r="15" spans="2:8" x14ac:dyDescent="0.25">
      <c r="D15" s="26" t="s">
        <v>67</v>
      </c>
      <c r="F15" s="66">
        <f>SUMPRODUCT(D6:D11,F6:F11)</f>
        <v>38700</v>
      </c>
    </row>
    <row r="16" spans="2:8" ht="13.8" thickBot="1" x14ac:dyDescent="0.3">
      <c r="D16" s="26" t="s">
        <v>68</v>
      </c>
      <c r="F16" s="66">
        <f>SUMPRODUCT(C6:C11,G6:G11)</f>
        <v>3600</v>
      </c>
    </row>
    <row r="17" spans="2:6" ht="14.4" thickTop="1" thickBot="1" x14ac:dyDescent="0.3">
      <c r="D17" s="26" t="s">
        <v>69</v>
      </c>
      <c r="F17" s="76">
        <f>SUM(F15:F16)</f>
        <v>42300</v>
      </c>
    </row>
    <row r="18" spans="2:6" ht="13.8" thickTop="1" x14ac:dyDescent="0.25"/>
    <row r="26" spans="2:6" x14ac:dyDescent="0.25">
      <c r="B26" s="77"/>
      <c r="C26" s="78"/>
      <c r="D26" s="79"/>
      <c r="E26" s="4"/>
      <c r="F26" s="4"/>
    </row>
    <row r="27" spans="2:6" x14ac:dyDescent="0.25">
      <c r="B27" s="4"/>
      <c r="C27" s="4"/>
      <c r="D27" s="78"/>
      <c r="F27" s="4"/>
    </row>
    <row r="28" spans="2:6" x14ac:dyDescent="0.25">
      <c r="B28" s="4"/>
      <c r="C28" s="78"/>
      <c r="D28" s="79"/>
      <c r="F28" s="4"/>
    </row>
    <row r="29" spans="2:6" x14ac:dyDescent="0.25">
      <c r="B29" s="4"/>
      <c r="C29" s="4"/>
      <c r="D29" s="79"/>
      <c r="F29" s="4"/>
    </row>
    <row r="30" spans="2:6" x14ac:dyDescent="0.25">
      <c r="B30" s="4"/>
      <c r="C30" s="4"/>
      <c r="D30" s="79"/>
      <c r="F30" s="4"/>
    </row>
    <row r="31" spans="2:6" x14ac:dyDescent="0.25">
      <c r="B31" s="4"/>
      <c r="C31" s="4"/>
      <c r="D31" s="79"/>
      <c r="F31" s="4"/>
    </row>
    <row r="32" spans="2:6" x14ac:dyDescent="0.25">
      <c r="B32" s="4"/>
      <c r="C32" s="4"/>
      <c r="D32" s="79"/>
      <c r="F32" s="4"/>
    </row>
    <row r="33" spans="2:6" x14ac:dyDescent="0.25">
      <c r="B33" s="4"/>
      <c r="C33" s="4"/>
      <c r="D33" s="79"/>
      <c r="F33" s="4"/>
    </row>
    <row r="34" spans="2:6" x14ac:dyDescent="0.25">
      <c r="B34" s="4"/>
      <c r="C34" s="4"/>
      <c r="D34" s="79"/>
      <c r="F34" s="4"/>
    </row>
    <row r="35" spans="2:6" x14ac:dyDescent="0.25">
      <c r="B35" s="4"/>
      <c r="C35" s="4"/>
      <c r="D35" s="79"/>
      <c r="F35" s="4"/>
    </row>
    <row r="36" spans="2:6" x14ac:dyDescent="0.25">
      <c r="B36" s="4"/>
      <c r="C36" s="4"/>
      <c r="D36" s="79"/>
      <c r="F36" s="4"/>
    </row>
    <row r="37" spans="2:6" x14ac:dyDescent="0.25">
      <c r="B37" s="80"/>
      <c r="C37" s="4"/>
      <c r="D37" s="4"/>
      <c r="E37" s="4"/>
      <c r="F37" s="4"/>
    </row>
    <row r="38" spans="2:6" x14ac:dyDescent="0.25">
      <c r="B38" s="4"/>
      <c r="C38" s="80"/>
      <c r="D38" s="80"/>
      <c r="E38" s="4"/>
      <c r="F38" s="4"/>
    </row>
    <row r="39" spans="2:6" x14ac:dyDescent="0.25">
      <c r="B39" s="63"/>
      <c r="C39" s="81"/>
      <c r="E39" s="4"/>
      <c r="F39" s="4"/>
    </row>
    <row r="40" spans="2:6" x14ac:dyDescent="0.25">
      <c r="B40" s="4"/>
      <c r="C40" s="81"/>
      <c r="E40" s="4"/>
      <c r="F40" s="4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1:K31"/>
  <sheetViews>
    <sheetView workbookViewId="0">
      <selection activeCell="H28" sqref="H28"/>
    </sheetView>
  </sheetViews>
  <sheetFormatPr defaultColWidth="11" defaultRowHeight="13.2" x14ac:dyDescent="0.25"/>
  <cols>
    <col min="1" max="1" width="11" style="4"/>
    <col min="2" max="2" width="16.88671875" style="4" customWidth="1"/>
    <col min="3" max="3" width="9.88671875" style="4" customWidth="1"/>
    <col min="4" max="4" width="13" style="4" customWidth="1"/>
    <col min="5" max="5" width="14.5546875" style="4" customWidth="1"/>
    <col min="6" max="6" width="13.5546875" style="4" customWidth="1"/>
    <col min="7" max="7" width="13" style="4" customWidth="1"/>
    <col min="8" max="16384" width="11" style="4"/>
  </cols>
  <sheetData>
    <row r="1" spans="2:11" x14ac:dyDescent="0.25">
      <c r="C1" s="5"/>
      <c r="D1" s="5"/>
      <c r="E1" s="5"/>
    </row>
    <row r="3" spans="2:11" ht="19.5" customHeight="1" x14ac:dyDescent="0.25">
      <c r="C3" s="6" t="s">
        <v>6</v>
      </c>
      <c r="D3" s="5"/>
      <c r="E3" s="7"/>
      <c r="F3" s="8"/>
    </row>
    <row r="4" spans="2:11" x14ac:dyDescent="0.25">
      <c r="C4" s="6" t="s">
        <v>7</v>
      </c>
      <c r="D4" s="5"/>
      <c r="E4" s="7"/>
      <c r="F4" s="8"/>
    </row>
    <row r="5" spans="2:11" ht="13.8" thickBot="1" x14ac:dyDescent="0.3">
      <c r="B5" s="9" t="s">
        <v>8</v>
      </c>
      <c r="C5" s="10" t="s">
        <v>9</v>
      </c>
      <c r="D5" s="10" t="s">
        <v>10</v>
      </c>
      <c r="E5" s="10" t="s">
        <v>11</v>
      </c>
    </row>
    <row r="6" spans="2:11" x14ac:dyDescent="0.25">
      <c r="B6" s="11" t="s">
        <v>12</v>
      </c>
      <c r="C6" s="12">
        <v>168</v>
      </c>
      <c r="D6" s="12">
        <v>400</v>
      </c>
      <c r="E6" s="12">
        <v>320</v>
      </c>
    </row>
    <row r="7" spans="2:11" x14ac:dyDescent="0.25">
      <c r="B7" s="11" t="s">
        <v>13</v>
      </c>
      <c r="C7" s="12">
        <v>280</v>
      </c>
      <c r="D7" s="12">
        <v>240</v>
      </c>
      <c r="E7" s="12">
        <v>176</v>
      </c>
    </row>
    <row r="8" spans="2:11" ht="13.8" thickBot="1" x14ac:dyDescent="0.3">
      <c r="B8" s="9" t="s">
        <v>14</v>
      </c>
      <c r="C8" s="13">
        <v>440</v>
      </c>
      <c r="D8" s="13">
        <v>160</v>
      </c>
      <c r="E8" s="13">
        <v>200</v>
      </c>
    </row>
    <row r="10" spans="2:11" x14ac:dyDescent="0.25">
      <c r="C10" s="6" t="s">
        <v>15</v>
      </c>
      <c r="D10" s="5"/>
      <c r="E10" s="5"/>
      <c r="I10" s="14"/>
      <c r="J10" s="14"/>
      <c r="K10" s="14"/>
    </row>
    <row r="11" spans="2:11" x14ac:dyDescent="0.25">
      <c r="C11" s="6" t="s">
        <v>7</v>
      </c>
      <c r="D11" s="5"/>
      <c r="E11" s="5"/>
      <c r="F11" s="15" t="s">
        <v>16</v>
      </c>
      <c r="G11" s="15" t="s">
        <v>16</v>
      </c>
      <c r="I11" s="16"/>
      <c r="J11" s="16"/>
      <c r="K11" s="16"/>
    </row>
    <row r="12" spans="2:11" ht="13.8" thickBot="1" x14ac:dyDescent="0.3">
      <c r="B12" s="9" t="s">
        <v>8</v>
      </c>
      <c r="C12" s="10" t="s">
        <v>9</v>
      </c>
      <c r="D12" s="10" t="s">
        <v>10</v>
      </c>
      <c r="E12" s="10" t="s">
        <v>11</v>
      </c>
      <c r="F12" s="10" t="s">
        <v>17</v>
      </c>
      <c r="G12" s="10" t="s">
        <v>0</v>
      </c>
      <c r="I12" s="16"/>
      <c r="J12" s="16"/>
      <c r="K12" s="16"/>
    </row>
    <row r="13" spans="2:11" x14ac:dyDescent="0.25">
      <c r="B13" s="11" t="s">
        <v>12</v>
      </c>
      <c r="C13" s="17">
        <v>0</v>
      </c>
      <c r="D13" s="17">
        <v>275</v>
      </c>
      <c r="E13" s="17">
        <v>0</v>
      </c>
      <c r="F13" s="18">
        <f>SUM(C13:E13)</f>
        <v>275</v>
      </c>
      <c r="G13" s="19">
        <v>275</v>
      </c>
      <c r="I13" s="16"/>
      <c r="J13" s="16"/>
      <c r="K13" s="16"/>
    </row>
    <row r="14" spans="2:11" x14ac:dyDescent="0.25">
      <c r="B14" s="11" t="s">
        <v>13</v>
      </c>
      <c r="C14" s="17">
        <v>200</v>
      </c>
      <c r="D14" s="17">
        <v>0</v>
      </c>
      <c r="E14" s="17">
        <v>200</v>
      </c>
      <c r="F14" s="18">
        <f>SUM(C14:E14)</f>
        <v>400</v>
      </c>
      <c r="G14" s="19">
        <v>400</v>
      </c>
      <c r="I14" s="16"/>
      <c r="J14" s="16"/>
      <c r="K14" s="16"/>
    </row>
    <row r="15" spans="2:11" ht="13.8" thickBot="1" x14ac:dyDescent="0.3">
      <c r="B15" s="9" t="s">
        <v>14</v>
      </c>
      <c r="C15" s="20">
        <v>0</v>
      </c>
      <c r="D15" s="20">
        <v>299.99999999999994</v>
      </c>
      <c r="E15" s="20">
        <v>2.330080578810675E-14</v>
      </c>
      <c r="F15" s="21">
        <f>SUM(C15:E15)</f>
        <v>299.99999999999994</v>
      </c>
      <c r="G15" s="22">
        <v>300</v>
      </c>
      <c r="I15" s="16"/>
      <c r="J15" s="16"/>
      <c r="K15" s="16"/>
    </row>
    <row r="16" spans="2:11" x14ac:dyDescent="0.25">
      <c r="B16" s="11" t="s">
        <v>18</v>
      </c>
      <c r="C16" s="23">
        <f>SUM(C13:C15)</f>
        <v>200</v>
      </c>
      <c r="D16" s="23">
        <f>SUM(D13:D15)</f>
        <v>575</v>
      </c>
      <c r="E16" s="23">
        <f>SUM(E13:E15)</f>
        <v>200.00000000000003</v>
      </c>
      <c r="F16" s="24"/>
      <c r="G16" s="24"/>
      <c r="I16" s="16"/>
      <c r="J16" s="16"/>
      <c r="K16" s="16"/>
    </row>
    <row r="17" spans="2:11" x14ac:dyDescent="0.25">
      <c r="B17" s="11" t="s">
        <v>5</v>
      </c>
      <c r="C17" s="19">
        <v>200</v>
      </c>
      <c r="D17" s="19">
        <v>600</v>
      </c>
      <c r="E17" s="19">
        <v>225</v>
      </c>
      <c r="F17" s="24"/>
      <c r="G17" s="24"/>
      <c r="I17" s="14"/>
      <c r="J17" s="14"/>
      <c r="K17" s="14"/>
    </row>
    <row r="18" spans="2:11" ht="13.8" thickBot="1" x14ac:dyDescent="0.3">
      <c r="B18" s="8"/>
      <c r="C18" s="25"/>
      <c r="D18" s="25"/>
      <c r="E18" s="25"/>
      <c r="I18" s="14"/>
      <c r="J18" s="14"/>
      <c r="K18" s="14"/>
    </row>
    <row r="19" spans="2:11" ht="14.4" thickTop="1" thickBot="1" x14ac:dyDescent="0.3">
      <c r="B19" s="26" t="s">
        <v>19</v>
      </c>
      <c r="E19" s="27">
        <f>SUMPRODUCT(C6:E8,C23:E25)</f>
        <v>1016</v>
      </c>
      <c r="I19" s="16"/>
      <c r="J19" s="16"/>
      <c r="K19" s="16"/>
    </row>
    <row r="20" spans="2:11" ht="13.8" thickTop="1" x14ac:dyDescent="0.25">
      <c r="I20" s="16"/>
      <c r="J20" s="16"/>
      <c r="K20" s="16"/>
    </row>
    <row r="21" spans="2:11" x14ac:dyDescent="0.25">
      <c r="C21" s="6" t="s">
        <v>20</v>
      </c>
      <c r="D21" s="5"/>
      <c r="E21" s="7"/>
      <c r="I21" s="16"/>
      <c r="J21" s="16"/>
      <c r="K21" s="16"/>
    </row>
    <row r="22" spans="2:11" ht="13.8" thickBot="1" x14ac:dyDescent="0.3">
      <c r="B22" s="9" t="s">
        <v>8</v>
      </c>
      <c r="C22" s="10" t="s">
        <v>9</v>
      </c>
      <c r="D22" s="10" t="s">
        <v>10</v>
      </c>
      <c r="E22" s="10" t="s">
        <v>11</v>
      </c>
    </row>
    <row r="23" spans="2:11" x14ac:dyDescent="0.25">
      <c r="B23" s="11" t="s">
        <v>12</v>
      </c>
      <c r="C23" s="17">
        <v>0</v>
      </c>
      <c r="D23" s="17">
        <v>1</v>
      </c>
      <c r="E23" s="17">
        <v>0</v>
      </c>
    </row>
    <row r="24" spans="2:11" x14ac:dyDescent="0.25">
      <c r="B24" s="11" t="s">
        <v>13</v>
      </c>
      <c r="C24" s="17">
        <v>1</v>
      </c>
      <c r="D24" s="17">
        <v>0</v>
      </c>
      <c r="E24" s="17">
        <v>1</v>
      </c>
    </row>
    <row r="25" spans="2:11" ht="13.8" thickBot="1" x14ac:dyDescent="0.3">
      <c r="B25" s="9" t="s">
        <v>14</v>
      </c>
      <c r="C25" s="20">
        <v>0</v>
      </c>
      <c r="D25" s="20">
        <v>1</v>
      </c>
      <c r="E25" s="20">
        <v>1.0355913683603E-16</v>
      </c>
    </row>
    <row r="27" spans="2:11" x14ac:dyDescent="0.25">
      <c r="C27" s="6" t="s">
        <v>21</v>
      </c>
      <c r="D27" s="5"/>
      <c r="E27" s="7"/>
    </row>
    <row r="28" spans="2:11" ht="13.8" thickBot="1" x14ac:dyDescent="0.3">
      <c r="B28" s="9" t="s">
        <v>8</v>
      </c>
      <c r="C28" s="10" t="s">
        <v>9</v>
      </c>
      <c r="D28" s="10" t="s">
        <v>10</v>
      </c>
      <c r="E28" s="10" t="s">
        <v>11</v>
      </c>
    </row>
    <row r="29" spans="2:11" x14ac:dyDescent="0.25">
      <c r="B29" s="11" t="s">
        <v>12</v>
      </c>
      <c r="C29" s="28">
        <f>C13-MIN($G13,C17)*C23</f>
        <v>0</v>
      </c>
      <c r="D29" s="28">
        <f>D13-MIN($G13,D17)*D23</f>
        <v>0</v>
      </c>
      <c r="E29" s="28">
        <f>E13-MIN($G13,E17)*E23</f>
        <v>0</v>
      </c>
    </row>
    <row r="30" spans="2:11" x14ac:dyDescent="0.25">
      <c r="B30" s="11" t="s">
        <v>13</v>
      </c>
      <c r="C30" s="28">
        <f>C14-MIN($G14,C17)*C24</f>
        <v>0</v>
      </c>
      <c r="D30" s="28">
        <f>D14-MIN($G14,D17)*D24</f>
        <v>0</v>
      </c>
      <c r="E30" s="28">
        <f>E14-MIN($G14,E17)*E24</f>
        <v>-25</v>
      </c>
    </row>
    <row r="31" spans="2:11" ht="13.8" thickBot="1" x14ac:dyDescent="0.3">
      <c r="B31" s="9" t="s">
        <v>14</v>
      </c>
      <c r="C31" s="28">
        <f>C15-MIN($G15,C17)*C25</f>
        <v>0</v>
      </c>
      <c r="D31" s="28">
        <f>D15-MIN($G15,D17)*D25</f>
        <v>0</v>
      </c>
      <c r="E31" s="28">
        <f>E15-MIN($G15,E17)*E25</f>
        <v>0</v>
      </c>
    </row>
  </sheetData>
  <phoneticPr fontId="6" type="noConversion"/>
  <printOptions headings="1"/>
  <pageMargins left="0.55118110236220474" right="0.55118110236220474" top="0.78740157480314965" bottom="0.78740157480314965" header="0.31496062992125984" footer="0.31496062992125984"/>
  <pageSetup scale="74" orientation="portrait" horizontalDpi="200" verticalDpi="200" r:id="rId1"/>
  <headerFooter alignWithMargins="0">
    <oddHeader>&amp;L&amp;F&amp;C&amp;A</oddHead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N22"/>
  <sheetViews>
    <sheetView workbookViewId="0">
      <selection activeCell="G8" sqref="G8"/>
    </sheetView>
  </sheetViews>
  <sheetFormatPr defaultColWidth="11" defaultRowHeight="13.2" x14ac:dyDescent="0.25"/>
  <cols>
    <col min="1" max="1" width="18.109375" style="4" customWidth="1"/>
    <col min="2" max="2" width="13.6640625" style="4" customWidth="1"/>
    <col min="3" max="3" width="12.33203125" style="4" customWidth="1"/>
    <col min="4" max="4" width="12.44140625" style="4" customWidth="1"/>
    <col min="5" max="5" width="12.6640625" style="4" customWidth="1"/>
    <col min="6" max="6" width="8.33203125" style="4" customWidth="1"/>
    <col min="7" max="16384" width="11" style="4"/>
  </cols>
  <sheetData>
    <row r="2" spans="1:14" ht="15.6" x14ac:dyDescent="0.3">
      <c r="B2" s="47"/>
      <c r="C2" s="48"/>
      <c r="F2" s="14"/>
      <c r="G2" s="14"/>
      <c r="H2" s="14"/>
    </row>
    <row r="3" spans="1:14" x14ac:dyDescent="0.25">
      <c r="F3" s="16"/>
      <c r="G3" s="49" t="s">
        <v>42</v>
      </c>
      <c r="H3" s="16"/>
      <c r="I3" s="16"/>
    </row>
    <row r="4" spans="1:14" x14ac:dyDescent="0.25">
      <c r="B4" s="15" t="s">
        <v>43</v>
      </c>
      <c r="C4" s="15" t="s">
        <v>44</v>
      </c>
      <c r="F4" s="16"/>
      <c r="G4" s="49" t="s">
        <v>42</v>
      </c>
      <c r="H4" s="16"/>
      <c r="I4" s="14"/>
      <c r="J4" s="14"/>
      <c r="K4" s="14"/>
      <c r="L4" s="14"/>
      <c r="M4" s="14"/>
      <c r="N4" s="14"/>
    </row>
    <row r="5" spans="1:14" x14ac:dyDescent="0.25">
      <c r="A5" s="36" t="s">
        <v>45</v>
      </c>
      <c r="B5" s="50">
        <v>60.71428571428563</v>
      </c>
      <c r="C5" s="50">
        <v>134.46428571428578</v>
      </c>
      <c r="D5" s="36"/>
      <c r="F5" s="14"/>
      <c r="G5" s="14"/>
      <c r="H5" s="14"/>
      <c r="I5" s="16"/>
    </row>
    <row r="6" spans="1:14" x14ac:dyDescent="0.25">
      <c r="A6" s="36"/>
      <c r="B6" s="51"/>
      <c r="C6" s="51"/>
      <c r="D6" s="36"/>
      <c r="E6" s="15"/>
      <c r="F6" s="1"/>
      <c r="G6" s="1" t="s">
        <v>46</v>
      </c>
      <c r="H6" s="14"/>
      <c r="I6" s="16"/>
    </row>
    <row r="7" spans="1:14" x14ac:dyDescent="0.25">
      <c r="A7" s="36" t="s">
        <v>47</v>
      </c>
      <c r="B7" s="52"/>
      <c r="C7" s="52"/>
      <c r="D7" s="15" t="s">
        <v>48</v>
      </c>
      <c r="E7" s="15" t="s">
        <v>49</v>
      </c>
      <c r="F7" s="1" t="s">
        <v>50</v>
      </c>
      <c r="G7" s="1" t="s">
        <v>51</v>
      </c>
      <c r="H7" s="14"/>
      <c r="I7" s="16"/>
    </row>
    <row r="8" spans="1:14" x14ac:dyDescent="0.25">
      <c r="A8" s="36" t="s">
        <v>52</v>
      </c>
      <c r="B8" s="53">
        <v>350</v>
      </c>
      <c r="C8" s="53">
        <v>300</v>
      </c>
      <c r="D8" s="54">
        <f>B8*$B$5+C8*$C$5</f>
        <v>61589.285714285703</v>
      </c>
      <c r="E8" s="1">
        <v>66100</v>
      </c>
      <c r="F8" s="1">
        <v>1</v>
      </c>
      <c r="G8" s="46">
        <f>F8*(E8-D8)</f>
        <v>4510.7142857142971</v>
      </c>
      <c r="H8" s="14"/>
      <c r="I8" s="16"/>
    </row>
    <row r="9" spans="1:14" x14ac:dyDescent="0.25">
      <c r="A9" s="36" t="s">
        <v>53</v>
      </c>
      <c r="B9" s="55">
        <v>15</v>
      </c>
      <c r="C9" s="55">
        <v>10</v>
      </c>
      <c r="D9" s="56">
        <f>B9*$B$5+C9*$C$5</f>
        <v>2255.3571428571422</v>
      </c>
      <c r="E9" s="1">
        <v>0</v>
      </c>
      <c r="F9" s="57">
        <v>2</v>
      </c>
      <c r="G9" s="46">
        <f>F9*(D9-E9)</f>
        <v>4510.7142857142844</v>
      </c>
      <c r="H9" s="16"/>
      <c r="I9" s="14"/>
    </row>
    <row r="10" spans="1:14" x14ac:dyDescent="0.25">
      <c r="A10" s="36"/>
      <c r="B10" s="55"/>
      <c r="C10" s="55"/>
      <c r="E10" s="58"/>
      <c r="F10" s="16"/>
      <c r="G10" s="16"/>
      <c r="H10" s="16"/>
      <c r="I10" s="14"/>
    </row>
    <row r="11" spans="1:14" x14ac:dyDescent="0.25">
      <c r="A11" s="36" t="s">
        <v>54</v>
      </c>
      <c r="B11" s="52"/>
      <c r="C11" s="3"/>
      <c r="D11" s="15" t="s">
        <v>55</v>
      </c>
      <c r="E11" s="15" t="s">
        <v>0</v>
      </c>
      <c r="F11" s="16"/>
      <c r="G11" s="16"/>
      <c r="H11" s="16"/>
    </row>
    <row r="12" spans="1:14" x14ac:dyDescent="0.25">
      <c r="A12" s="36" t="s">
        <v>56</v>
      </c>
      <c r="B12" s="15">
        <v>1</v>
      </c>
      <c r="C12" s="15">
        <v>1</v>
      </c>
      <c r="D12" s="18">
        <f>B12*B5+C12*C5</f>
        <v>195.17857142857142</v>
      </c>
      <c r="E12" s="55">
        <v>200</v>
      </c>
      <c r="F12" s="14"/>
      <c r="G12" s="14"/>
      <c r="H12" s="14"/>
    </row>
    <row r="13" spans="1:14" x14ac:dyDescent="0.25">
      <c r="A13" s="36" t="s">
        <v>57</v>
      </c>
      <c r="B13" s="15">
        <v>9</v>
      </c>
      <c r="C13" s="15">
        <v>6</v>
      </c>
      <c r="D13" s="46">
        <f>B13*B5+C13*C5</f>
        <v>1353.2142857142853</v>
      </c>
      <c r="E13" s="15">
        <v>1566</v>
      </c>
    </row>
    <row r="14" spans="1:14" x14ac:dyDescent="0.25">
      <c r="A14" s="36" t="s">
        <v>58</v>
      </c>
      <c r="B14" s="15">
        <v>12</v>
      </c>
      <c r="C14" s="15">
        <v>16</v>
      </c>
      <c r="D14" s="46">
        <f>B14*B5+C14*C5</f>
        <v>2880</v>
      </c>
      <c r="E14" s="15">
        <v>2880</v>
      </c>
    </row>
    <row r="15" spans="1:14" ht="13.8" thickBot="1" x14ac:dyDescent="0.3">
      <c r="A15"/>
      <c r="B15"/>
      <c r="C15"/>
      <c r="D15" s="59"/>
      <c r="E15"/>
      <c r="F15"/>
      <c r="G15"/>
    </row>
    <row r="16" spans="1:14" ht="14.4" thickTop="1" thickBot="1" x14ac:dyDescent="0.3">
      <c r="A16" s="2" t="s">
        <v>59</v>
      </c>
      <c r="B16" s="60">
        <v>4510.7142857142799</v>
      </c>
      <c r="C16"/>
      <c r="D16" s="61"/>
      <c r="E16"/>
      <c r="F16"/>
      <c r="G16"/>
    </row>
    <row r="17" spans="1:7" ht="13.8" thickTop="1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 s="16"/>
      <c r="D20" s="16"/>
      <c r="F20" s="62"/>
    </row>
    <row r="21" spans="1:7" x14ac:dyDescent="0.25">
      <c r="B21" s="16"/>
      <c r="C21" s="16"/>
      <c r="D21" s="16"/>
      <c r="F21" s="62"/>
    </row>
    <row r="22" spans="1:7" x14ac:dyDescent="0.25">
      <c r="A22"/>
      <c r="B22"/>
      <c r="C22" s="14"/>
      <c r="D22" s="14"/>
    </row>
  </sheetData>
  <phoneticPr fontId="6" type="noConversion"/>
  <printOptions heading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&amp;L&amp;F&amp;C&amp;A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N22"/>
  <sheetViews>
    <sheetView showFormulas="1" view="pageLayout" zoomScaleNormal="100" workbookViewId="0">
      <selection activeCell="H19" sqref="H19"/>
    </sheetView>
  </sheetViews>
  <sheetFormatPr defaultColWidth="11" defaultRowHeight="13.2" x14ac:dyDescent="0.25"/>
  <cols>
    <col min="1" max="1" width="9.44140625" style="4" customWidth="1"/>
    <col min="2" max="2" width="7.109375" style="4" customWidth="1"/>
    <col min="3" max="3" width="7.44140625" style="4" customWidth="1"/>
    <col min="4" max="4" width="9.109375" style="4" customWidth="1"/>
    <col min="5" max="6" width="5.33203125" style="4" customWidth="1"/>
    <col min="7" max="7" width="7.33203125" style="4" customWidth="1"/>
    <col min="8" max="16384" width="11" style="4"/>
  </cols>
  <sheetData>
    <row r="2" spans="1:14" ht="15.6" x14ac:dyDescent="0.3">
      <c r="B2" s="47"/>
      <c r="C2" s="48"/>
      <c r="F2" s="14"/>
      <c r="G2" s="14"/>
      <c r="H2" s="14"/>
    </row>
    <row r="3" spans="1:14" x14ac:dyDescent="0.25">
      <c r="F3" s="16"/>
      <c r="G3" s="49" t="s">
        <v>42</v>
      </c>
      <c r="H3" s="16"/>
      <c r="I3" s="16"/>
    </row>
    <row r="4" spans="1:14" x14ac:dyDescent="0.25">
      <c r="B4" s="15" t="s">
        <v>43</v>
      </c>
      <c r="C4" s="15" t="s">
        <v>44</v>
      </c>
      <c r="F4" s="16"/>
      <c r="G4" s="49" t="s">
        <v>42</v>
      </c>
      <c r="H4" s="16"/>
      <c r="I4" s="14"/>
      <c r="J4" s="14"/>
      <c r="K4" s="14"/>
      <c r="L4" s="14"/>
      <c r="M4" s="14"/>
      <c r="N4" s="14"/>
    </row>
    <row r="5" spans="1:14" x14ac:dyDescent="0.25">
      <c r="A5" s="36" t="s">
        <v>45</v>
      </c>
      <c r="B5" s="50">
        <v>60.714285714285765</v>
      </c>
      <c r="C5" s="50">
        <v>134.46428571428567</v>
      </c>
      <c r="D5" s="36"/>
      <c r="F5" s="14"/>
      <c r="G5" s="14"/>
      <c r="H5" s="14"/>
      <c r="I5" s="16"/>
    </row>
    <row r="6" spans="1:14" x14ac:dyDescent="0.25">
      <c r="A6" s="36"/>
      <c r="B6" s="51"/>
      <c r="C6" s="51"/>
      <c r="D6" s="36"/>
      <c r="E6" s="15"/>
      <c r="F6" s="1"/>
      <c r="G6" s="1" t="s">
        <v>46</v>
      </c>
      <c r="H6" s="14"/>
      <c r="I6" s="16"/>
    </row>
    <row r="7" spans="1:14" x14ac:dyDescent="0.25">
      <c r="A7" s="36" t="s">
        <v>47</v>
      </c>
      <c r="B7" s="52"/>
      <c r="C7" s="52"/>
      <c r="D7" s="15" t="s">
        <v>48</v>
      </c>
      <c r="E7" s="15" t="s">
        <v>49</v>
      </c>
      <c r="F7" s="1" t="s">
        <v>50</v>
      </c>
      <c r="G7" s="1" t="s">
        <v>51</v>
      </c>
      <c r="H7" s="14"/>
      <c r="I7" s="16"/>
    </row>
    <row r="8" spans="1:14" x14ac:dyDescent="0.25">
      <c r="A8" s="36" t="s">
        <v>52</v>
      </c>
      <c r="B8" s="53">
        <v>350</v>
      </c>
      <c r="C8" s="53">
        <v>300</v>
      </c>
      <c r="D8" s="54">
        <f>B8*$B$5+C8*$C$5</f>
        <v>61589.285714285725</v>
      </c>
      <c r="E8" s="1">
        <v>66100</v>
      </c>
      <c r="F8" s="1">
        <v>1</v>
      </c>
      <c r="G8" s="46">
        <f>F8*(E8-D8)</f>
        <v>4510.7142857142753</v>
      </c>
      <c r="H8" s="14"/>
      <c r="I8" s="16"/>
    </row>
    <row r="9" spans="1:14" x14ac:dyDescent="0.25">
      <c r="A9" s="36" t="s">
        <v>53</v>
      </c>
      <c r="B9" s="55">
        <v>15</v>
      </c>
      <c r="C9" s="55">
        <v>10</v>
      </c>
      <c r="D9" s="56">
        <f>B9*$B$5+C9*$C$5</f>
        <v>2255.3571428571431</v>
      </c>
      <c r="E9" s="1">
        <v>0</v>
      </c>
      <c r="F9" s="57">
        <v>2</v>
      </c>
      <c r="G9" s="46">
        <f>F9*(D9-E9)</f>
        <v>4510.7142857142862</v>
      </c>
      <c r="H9" s="16"/>
      <c r="I9" s="14"/>
    </row>
    <row r="10" spans="1:14" x14ac:dyDescent="0.25">
      <c r="A10" s="36"/>
      <c r="B10" s="55"/>
      <c r="C10" s="55"/>
      <c r="E10" s="58"/>
      <c r="F10" s="16"/>
      <c r="G10" s="16"/>
      <c r="H10" s="16"/>
      <c r="I10" s="14"/>
    </row>
    <row r="11" spans="1:14" x14ac:dyDescent="0.25">
      <c r="A11" s="36" t="s">
        <v>54</v>
      </c>
      <c r="B11" s="52"/>
      <c r="C11" s="3"/>
      <c r="D11" s="15" t="s">
        <v>55</v>
      </c>
      <c r="E11" s="15" t="s">
        <v>0</v>
      </c>
      <c r="F11" s="16"/>
      <c r="G11" s="16"/>
      <c r="H11" s="16"/>
    </row>
    <row r="12" spans="1:14" x14ac:dyDescent="0.25">
      <c r="A12" s="36" t="s">
        <v>56</v>
      </c>
      <c r="B12" s="15">
        <v>1</v>
      </c>
      <c r="C12" s="15">
        <v>1</v>
      </c>
      <c r="D12" s="18">
        <f>B12*B5+C12*C5</f>
        <v>195.17857142857144</v>
      </c>
      <c r="E12" s="55">
        <v>200</v>
      </c>
      <c r="F12" s="14"/>
      <c r="G12" s="14"/>
      <c r="H12" s="14"/>
    </row>
    <row r="13" spans="1:14" x14ac:dyDescent="0.25">
      <c r="A13" s="36" t="s">
        <v>57</v>
      </c>
      <c r="B13" s="15">
        <v>9</v>
      </c>
      <c r="C13" s="15">
        <v>6</v>
      </c>
      <c r="D13" s="46">
        <f>B13*B5+C13*C5</f>
        <v>1353.2142857142858</v>
      </c>
      <c r="E13" s="15">
        <v>1566</v>
      </c>
    </row>
    <row r="14" spans="1:14" x14ac:dyDescent="0.25">
      <c r="A14" s="36" t="s">
        <v>58</v>
      </c>
      <c r="B14" s="15">
        <v>12</v>
      </c>
      <c r="C14" s="15">
        <v>16</v>
      </c>
      <c r="D14" s="46">
        <f>B14*B5+C14*C5</f>
        <v>2880</v>
      </c>
      <c r="E14" s="15">
        <v>2880</v>
      </c>
    </row>
    <row r="15" spans="1:14" ht="13.8" thickBot="1" x14ac:dyDescent="0.3">
      <c r="A15"/>
      <c r="B15"/>
      <c r="C15"/>
      <c r="D15" s="59"/>
      <c r="E15"/>
      <c r="F15"/>
      <c r="G15"/>
    </row>
    <row r="16" spans="1:14" ht="14.4" thickTop="1" thickBot="1" x14ac:dyDescent="0.3">
      <c r="A16" s="2" t="s">
        <v>59</v>
      </c>
      <c r="B16" s="60">
        <v>4510.7142857142917</v>
      </c>
      <c r="C16"/>
      <c r="D16" s="61"/>
      <c r="E16"/>
      <c r="F16"/>
      <c r="G16"/>
    </row>
    <row r="17" spans="1:7" ht="13.8" thickTop="1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 s="16"/>
      <c r="D20" s="16"/>
      <c r="F20" s="62"/>
    </row>
    <row r="21" spans="1:7" x14ac:dyDescent="0.25">
      <c r="B21" s="16"/>
      <c r="C21" s="16"/>
      <c r="D21" s="16"/>
      <c r="F21" s="62"/>
    </row>
    <row r="22" spans="1:7" x14ac:dyDescent="0.25">
      <c r="A22"/>
      <c r="B22"/>
      <c r="C22" s="14"/>
      <c r="D22" s="14"/>
    </row>
  </sheetData>
  <printOptions headings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&amp;L&amp;F&amp;C&amp;A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 1 (Prb6_10)</vt:lpstr>
      <vt:lpstr>Ex 1 (Prb6_10) (d)</vt:lpstr>
      <vt:lpstr>Ex 2 (Prb6_17)</vt:lpstr>
      <vt:lpstr>Ex 3 (Prb6_20)</vt:lpstr>
      <vt:lpstr>Ex 4 (Prb7_12)</vt:lpstr>
      <vt:lpstr>Ex 4 (Prb7_12) (formula)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Lim</dc:creator>
  <cp:lastModifiedBy>Poh Lim</cp:lastModifiedBy>
  <cp:lastPrinted>2009-03-24T14:40:57Z</cp:lastPrinted>
  <dcterms:created xsi:type="dcterms:W3CDTF">1999-10-21T20:58:00Z</dcterms:created>
  <dcterms:modified xsi:type="dcterms:W3CDTF">2018-08-16T12:23:22Z</dcterms:modified>
</cp:coreProperties>
</file>