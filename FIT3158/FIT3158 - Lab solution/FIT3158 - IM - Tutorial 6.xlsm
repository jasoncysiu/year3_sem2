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cuments\GitHub\year3_sem2\FIT3158\FIT3158 - Lab solution\"/>
    </mc:Choice>
  </mc:AlternateContent>
  <xr:revisionPtr revIDLastSave="0" documentId="13_ncr:1_{212B9602-1201-44B4-87EA-031FF0A60790}" xr6:coauthVersionLast="47" xr6:coauthVersionMax="47" xr10:uidLastSave="{00000000-0000-0000-0000-000000000000}"/>
  <bookViews>
    <workbookView xWindow="19090" yWindow="-110" windowWidth="19420" windowHeight="11020" firstSheet="2" activeTab="6" xr2:uid="{00000000-000D-0000-FFFF-FFFF00000000}"/>
  </bookViews>
  <sheets>
    <sheet name="Module1" sheetId="1" state="veryHidden" r:id=""/>
    <sheet name="Ex1 - MethodI" sheetId="4" r:id="rId1"/>
    <sheet name="Ex1 - MethodII" sheetId="2" r:id="rId2"/>
    <sheet name="Ex2 - MethodI" sheetId="5" r:id="rId3"/>
    <sheet name="Ex2 - MethodII" sheetId="3" r:id="rId4"/>
    <sheet name="Ex3 - Job Assignment" sheetId="6" r:id="rId5"/>
    <sheet name="Extra Ex" sheetId="7" r:id="rId6"/>
  </sheets>
  <externalReferences>
    <externalReference r:id="rId7"/>
  </externalReferences>
  <definedNames>
    <definedName name="solver_adj" localSheetId="1" hidden="1">'Ex1 - MethodI'!$B$12:$E$14</definedName>
    <definedName name="solver_adj" localSheetId="2" hidden="1">'Ex1 - MethodII'!$B$6:$B$17</definedName>
    <definedName name="solver_adj" localSheetId="4" hidden="1">'Ex2 - MethodII'!$B$6:$B$17</definedName>
    <definedName name="solver_cvg" localSheetId="1" hidden="1">0.0001</definedName>
    <definedName name="solver_cvg" localSheetId="2" hidden="1">0.0001</definedName>
    <definedName name="solver_cvg" localSheetId="4" hidden="1">0.0001</definedName>
    <definedName name="solver_drv" localSheetId="1" hidden="1">1</definedName>
    <definedName name="solver_drv" localSheetId="2" hidden="1">1</definedName>
    <definedName name="solver_drv" localSheetId="4" hidden="1">1</definedName>
    <definedName name="solver_eng" localSheetId="2" hidden="1">2</definedName>
    <definedName name="solver_eng" localSheetId="3" hidden="1">1</definedName>
    <definedName name="solver_eng" localSheetId="4" hidden="1">2</definedName>
    <definedName name="solver_eng" localSheetId="6" hidden="1">1</definedName>
    <definedName name="solver_est" localSheetId="1" hidden="1">1</definedName>
    <definedName name="solver_est" localSheetId="2" hidden="1">1</definedName>
    <definedName name="solver_est" localSheetId="4" hidden="1">1</definedName>
    <definedName name="solver_ibd" localSheetId="2" hidden="1">2</definedName>
    <definedName name="solver_ibd" localSheetId="4" hidden="1">2</definedName>
    <definedName name="solver_itr" localSheetId="1" hidden="1">100</definedName>
    <definedName name="solver_itr" localSheetId="2" hidden="1">1000</definedName>
    <definedName name="solver_itr" localSheetId="4" hidden="1">1000</definedName>
    <definedName name="solver_lhs1" localSheetId="1" hidden="1">'Ex1 - MethodI'!$B$12:$E$14</definedName>
    <definedName name="solver_lhs1" localSheetId="2" hidden="1">'Ex1 - MethodII'!$K$6:$K$12</definedName>
    <definedName name="solver_lhs1" localSheetId="4" hidden="1">'Ex2 - MethodII'!$B$6:$B$17</definedName>
    <definedName name="solver_lhs2" localSheetId="1" hidden="1">'Ex1 - MethodI'!$B$15:$E$15</definedName>
    <definedName name="solver_lhs2" localSheetId="2" hidden="1">'Ex1 - MethodII'!$B$6:$B$17</definedName>
    <definedName name="solver_lhs2" localSheetId="4" hidden="1">'Ex2 - MethodII'!$K$6:$K$12</definedName>
    <definedName name="solver_lhs3" localSheetId="1" hidden="1">'Ex1 - MethodI'!$F$12:$F$14</definedName>
    <definedName name="solver_lin" localSheetId="1" hidden="1">1</definedName>
    <definedName name="solver_lin" localSheetId="2" hidden="1">1</definedName>
    <definedName name="solver_lin" localSheetId="4" hidden="1">1</definedName>
    <definedName name="solver_lva" localSheetId="2" hidden="1">2</definedName>
    <definedName name="solver_lva" localSheetId="4" hidden="1">2</definedName>
    <definedName name="solver_mip" localSheetId="2" hidden="1">1000</definedName>
    <definedName name="solver_mip" localSheetId="4" hidden="1">1000</definedName>
    <definedName name="solver_mni" localSheetId="2" hidden="1">30</definedName>
    <definedName name="solver_mni" localSheetId="4" hidden="1">30</definedName>
    <definedName name="solver_mrt" localSheetId="2" hidden="1">0.075</definedName>
    <definedName name="solver_mrt" localSheetId="4" hidden="1">0.075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6" hidden="1">1</definedName>
    <definedName name="solver_nod" localSheetId="2" hidden="1">1000</definedName>
    <definedName name="solver_nod" localSheetId="4" hidden="1">1000</definedName>
    <definedName name="solver_num" localSheetId="1" hidden="1">3</definedName>
    <definedName name="solver_num" localSheetId="2" hidden="1">2</definedName>
    <definedName name="solver_num" localSheetId="3" hidden="1">0</definedName>
    <definedName name="solver_num" localSheetId="4" hidden="1">2</definedName>
    <definedName name="solver_num" localSheetId="6" hidden="1">0</definedName>
    <definedName name="solver_nwt" localSheetId="1" hidden="1">1</definedName>
    <definedName name="solver_nwt" localSheetId="2" hidden="1">1</definedName>
    <definedName name="solver_nwt" localSheetId="4" hidden="1">1</definedName>
    <definedName name="solver_ofx" localSheetId="2" hidden="1">2</definedName>
    <definedName name="solver_ofx" localSheetId="4" hidden="1">2</definedName>
    <definedName name="solver_opt" localSheetId="1" hidden="1">'Ex1 - MethodI'!$G$9</definedName>
    <definedName name="solver_opt" localSheetId="2" hidden="1">'Ex1 - MethodII'!$G$19</definedName>
    <definedName name="solver_opt" localSheetId="3" hidden="1">'Ex2 - MethodI'!$H$21</definedName>
    <definedName name="solver_opt" localSheetId="4" hidden="1">'Ex2 - MethodII'!$G$19</definedName>
    <definedName name="solver_opt" localSheetId="6" hidden="1">'Extra Ex'!$Q$40</definedName>
    <definedName name="solver_piv" localSheetId="2" hidden="1">0.000001</definedName>
    <definedName name="solver_piv" localSheetId="4" hidden="1">0.000001</definedName>
    <definedName name="solver_pre" localSheetId="1" hidden="1">0.000001</definedName>
    <definedName name="solver_pre" localSheetId="2" hidden="1">0.00000001</definedName>
    <definedName name="solver_pre" localSheetId="4" hidden="1">0.00000001</definedName>
    <definedName name="solver_pro" localSheetId="2" hidden="1">2</definedName>
    <definedName name="solver_pro" localSheetId="4" hidden="1">2</definedName>
    <definedName name="solver_rbv" localSheetId="2" hidden="1">1</definedName>
    <definedName name="solver_rbv" localSheetId="4" hidden="1">1</definedName>
    <definedName name="solver_red" localSheetId="2" hidden="1">0.000001</definedName>
    <definedName name="solver_red" localSheetId="4" hidden="1">0.000001</definedName>
    <definedName name="solver_rel1" localSheetId="1" hidden="1">4</definedName>
    <definedName name="solver_rel1" localSheetId="2" hidden="1">2</definedName>
    <definedName name="solver_rel1" localSheetId="4" hidden="1">3</definedName>
    <definedName name="solver_rel2" localSheetId="1" hidden="1">2</definedName>
    <definedName name="solver_rel2" localSheetId="2" hidden="1">3</definedName>
    <definedName name="solver_rel2" localSheetId="4" hidden="1">1</definedName>
    <definedName name="solver_rel3" localSheetId="1" hidden="1">2</definedName>
    <definedName name="solver_reo" localSheetId="2" hidden="1">2</definedName>
    <definedName name="solver_reo" localSheetId="4" hidden="1">2</definedName>
    <definedName name="solver_rep" localSheetId="2" hidden="1">2</definedName>
    <definedName name="solver_rep" localSheetId="4" hidden="1">2</definedName>
    <definedName name="solver_rhs1" localSheetId="1" hidden="1">integer</definedName>
    <definedName name="solver_rhs1" localSheetId="2" hidden="1">'Ex1 - MethodII'!$L$6:$L$12</definedName>
    <definedName name="solver_rhs1" localSheetId="4" hidden="1">0</definedName>
    <definedName name="solver_rhs2" localSheetId="1" hidden="1">'Ex1 - MethodI'!$B$8:$E$8</definedName>
    <definedName name="solver_rhs2" localSheetId="2" hidden="1">0</definedName>
    <definedName name="solver_rhs2" localSheetId="4" hidden="1">'Ex2 - MethodII'!$L$6:$L$12</definedName>
    <definedName name="solver_rhs3" localSheetId="1" hidden="1">'Ex1 - MethodI'!$F$5:$F$7</definedName>
    <definedName name="solver_rlx" localSheetId="2" hidden="1">2</definedName>
    <definedName name="solver_rlx" localSheetId="4" hidden="1">2</definedName>
    <definedName name="solver_scl" localSheetId="1" hidden="1">2</definedName>
    <definedName name="solver_scl" localSheetId="2" hidden="1">1</definedName>
    <definedName name="solver_scl" localSheetId="4" hidden="1">1</definedName>
    <definedName name="solver_sho" localSheetId="1" hidden="1">2</definedName>
    <definedName name="solver_sho" localSheetId="2" hidden="1">2</definedName>
    <definedName name="solver_sho" localSheetId="4" hidden="1">2</definedName>
    <definedName name="solver_ssz" localSheetId="2" hidden="1">100</definedName>
    <definedName name="solver_ssz" localSheetId="4" hidden="1">100</definedName>
    <definedName name="solver_std" localSheetId="2" hidden="1">0</definedName>
    <definedName name="solver_std" localSheetId="4" hidden="1">0</definedName>
    <definedName name="solver_tim" localSheetId="1" hidden="1">100</definedName>
    <definedName name="solver_tim" localSheetId="2" hidden="1">200</definedName>
    <definedName name="solver_tim" localSheetId="4" hidden="1">200</definedName>
    <definedName name="solver_tol" localSheetId="1" hidden="1">0.05</definedName>
    <definedName name="solver_tol" localSheetId="2" hidden="1">0</definedName>
    <definedName name="solver_tol" localSheetId="4" hidden="1">0</definedName>
    <definedName name="solver_typ" localSheetId="1" hidden="1">2</definedName>
    <definedName name="solver_typ" localSheetId="2" hidden="1">2</definedName>
    <definedName name="solver_typ" localSheetId="3" hidden="1">1</definedName>
    <definedName name="solver_typ" localSheetId="4" hidden="1">2</definedName>
    <definedName name="solver_typ" localSheetId="6" hidden="1">1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6" hidden="1">0</definedName>
    <definedName name="solver_ver" localSheetId="2" hidden="1">2</definedName>
    <definedName name="solver_ver" localSheetId="3" hidden="1">3</definedName>
    <definedName name="solver_ver" localSheetId="4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7" l="1"/>
  <c r="G10" i="7"/>
  <c r="G9" i="7"/>
  <c r="G8" i="7"/>
  <c r="G7" i="7"/>
  <c r="G6" i="7"/>
  <c r="G5" i="7"/>
  <c r="F24" i="6" l="1"/>
  <c r="M22" i="6"/>
  <c r="L22" i="6"/>
  <c r="K22" i="6"/>
  <c r="J22" i="6"/>
  <c r="I22" i="6"/>
  <c r="H22" i="6"/>
  <c r="G22" i="6"/>
  <c r="F22" i="6"/>
  <c r="N22" i="6" s="1"/>
  <c r="N21" i="6"/>
  <c r="N20" i="6"/>
  <c r="N19" i="6"/>
  <c r="N18" i="6"/>
  <c r="N17" i="6"/>
  <c r="N16" i="6"/>
  <c r="N15" i="6"/>
  <c r="N14" i="6"/>
  <c r="E17" i="5"/>
  <c r="D17" i="5"/>
  <c r="C17" i="5"/>
  <c r="B17" i="5"/>
  <c r="F16" i="5"/>
  <c r="A16" i="5"/>
  <c r="F15" i="5"/>
  <c r="A15" i="5"/>
  <c r="F14" i="5"/>
  <c r="A14" i="5"/>
  <c r="F13" i="5"/>
  <c r="A13" i="5"/>
  <c r="E12" i="5"/>
  <c r="D12" i="5"/>
  <c r="C12" i="5"/>
  <c r="B12" i="5"/>
  <c r="B11" i="5"/>
  <c r="G10" i="5"/>
  <c r="E15" i="4"/>
  <c r="D15" i="4"/>
  <c r="C15" i="4"/>
  <c r="B15" i="4"/>
  <c r="F14" i="4"/>
  <c r="A14" i="4"/>
  <c r="F13" i="4"/>
  <c r="A13" i="4"/>
  <c r="F12" i="4"/>
  <c r="A12" i="4"/>
  <c r="E11" i="4"/>
  <c r="D11" i="4"/>
  <c r="C11" i="4"/>
  <c r="B11" i="4"/>
  <c r="B10" i="4"/>
  <c r="G9" i="4"/>
  <c r="G19" i="3"/>
  <c r="F17" i="3"/>
  <c r="D17" i="3"/>
  <c r="F16" i="3"/>
  <c r="D16" i="3"/>
  <c r="F15" i="3"/>
  <c r="D15" i="3"/>
  <c r="F14" i="3"/>
  <c r="D14" i="3"/>
  <c r="F13" i="3"/>
  <c r="D13" i="3"/>
  <c r="K12" i="3"/>
  <c r="F12" i="3"/>
  <c r="D12" i="3"/>
  <c r="K11" i="3"/>
  <c r="F11" i="3"/>
  <c r="D11" i="3"/>
  <c r="K10" i="3"/>
  <c r="F10" i="3"/>
  <c r="D10" i="3"/>
  <c r="K9" i="3"/>
  <c r="F9" i="3"/>
  <c r="D9" i="3"/>
  <c r="K8" i="3"/>
  <c r="F8" i="3"/>
  <c r="D8" i="3"/>
  <c r="K7" i="3"/>
  <c r="F7" i="3"/>
  <c r="D7" i="3"/>
  <c r="K6" i="3"/>
  <c r="F6" i="3"/>
  <c r="D6" i="3"/>
  <c r="F16" i="2"/>
  <c r="D16" i="2"/>
  <c r="F6" i="2"/>
  <c r="F7" i="2"/>
  <c r="F8" i="2"/>
  <c r="F9" i="2"/>
  <c r="F10" i="2"/>
  <c r="F11" i="2"/>
  <c r="F12" i="2"/>
  <c r="F13" i="2"/>
  <c r="F17" i="2"/>
  <c r="G19" i="2"/>
  <c r="F15" i="2"/>
  <c r="F14" i="2"/>
  <c r="D17" i="2"/>
  <c r="D15" i="2"/>
  <c r="D14" i="2"/>
  <c r="D13" i="2"/>
  <c r="D12" i="2"/>
  <c r="D11" i="2"/>
  <c r="D10" i="2"/>
  <c r="D9" i="2"/>
  <c r="D8" i="2"/>
  <c r="D7" i="2"/>
  <c r="D6" i="2"/>
  <c r="K12" i="2"/>
  <c r="K7" i="2"/>
  <c r="K8" i="2"/>
  <c r="K9" i="2"/>
  <c r="K10" i="2"/>
  <c r="K11" i="2"/>
  <c r="K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6" authorId="0" shapeId="0" xr:uid="{00000000-0006-0000-02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6" authorId="0" shapeId="0" xr:uid="{00000000-0006-0000-0200-000002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7" authorId="0" shapeId="0" xr:uid="{00000000-0006-0000-02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7" authorId="0" shapeId="0" xr:uid="{00000000-0006-0000-02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 xr:uid="{00000000-0006-0000-02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8" authorId="0" shapeId="0" xr:uid="{00000000-0006-0000-0200-000006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9" authorId="0" shapeId="0" xr:uid="{00000000-0006-0000-02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9" authorId="0" shapeId="0" xr:uid="{00000000-0006-0000-02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0" authorId="0" shapeId="0" xr:uid="{00000000-0006-0000-02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10" authorId="0" shapeId="0" xr:uid="{00000000-0006-0000-0200-00000A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 xr:uid="{00000000-0006-0000-0200-00000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11" authorId="0" shapeId="0" xr:uid="{00000000-0006-0000-0200-00000C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 xr:uid="{00000000-0006-0000-0200-00000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12" authorId="0" shapeId="0" xr:uid="{00000000-0006-0000-0200-00000E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3" authorId="0" shapeId="0" xr:uid="{00000000-0006-0000-0200-00000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 xr:uid="{00000000-0006-0000-0200-000010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 xr:uid="{00000000-0006-0000-0200-00001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7" authorId="0" shapeId="0" xr:uid="{00000000-0006-0000-0200-00001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19" authorId="0" shapeId="0" xr:uid="{00000000-0006-0000-0200-000013000000}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6" authorId="0" shapeId="0" xr:uid="{00000000-0006-0000-04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6" authorId="0" shapeId="0" xr:uid="{00000000-0006-0000-0400-000002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7" authorId="0" shapeId="0" xr:uid="{00000000-0006-0000-04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7" authorId="0" shapeId="0" xr:uid="{00000000-0006-0000-04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 xr:uid="{00000000-0006-0000-04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8" authorId="0" shapeId="0" xr:uid="{00000000-0006-0000-0400-000006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9" authorId="0" shapeId="0" xr:uid="{00000000-0006-0000-04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9" authorId="0" shapeId="0" xr:uid="{00000000-0006-0000-04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0" authorId="0" shapeId="0" xr:uid="{00000000-0006-0000-04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10" authorId="0" shapeId="0" xr:uid="{00000000-0006-0000-0400-00000A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 xr:uid="{00000000-0006-0000-0400-00000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11" authorId="0" shapeId="0" xr:uid="{00000000-0006-0000-0400-00000C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 xr:uid="{00000000-0006-0000-0400-00000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K12" authorId="0" shapeId="0" xr:uid="{00000000-0006-0000-0400-00000E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3" authorId="0" shapeId="0" xr:uid="{00000000-0006-0000-0400-00000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 xr:uid="{00000000-0006-0000-0400-000010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 xr:uid="{00000000-0006-0000-0400-00001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7" authorId="0" shapeId="0" xr:uid="{00000000-0006-0000-0400-00001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19" authorId="0" shapeId="0" xr:uid="{00000000-0006-0000-0400-000013000000}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A5" authorId="0" shapeId="0" xr:uid="{00000000-0006-0000-06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5" authorId="0" shapeId="0" xr:uid="{00000000-0006-0000-0600-000002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6" authorId="0" shapeId="0" xr:uid="{00000000-0006-0000-06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6" authorId="0" shapeId="0" xr:uid="{00000000-0006-0000-06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7" authorId="0" shapeId="0" xr:uid="{00000000-0006-0000-06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7" authorId="0" shapeId="0" xr:uid="{00000000-0006-0000-0600-000006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8" authorId="0" shapeId="0" xr:uid="{00000000-0006-0000-06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8" authorId="0" shapeId="0" xr:uid="{00000000-0006-0000-06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9" authorId="0" shapeId="0" xr:uid="{00000000-0006-0000-06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9" authorId="0" shapeId="0" xr:uid="{00000000-0006-0000-0600-00000A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0" authorId="0" shapeId="0" xr:uid="{00000000-0006-0000-0600-00000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10" authorId="0" shapeId="0" xr:uid="{00000000-0006-0000-0600-00000C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1" authorId="0" shapeId="0" xr:uid="{00000000-0006-0000-0600-00000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2" authorId="0" shapeId="0" xr:uid="{00000000-0006-0000-0600-00000E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3" authorId="0" shapeId="0" xr:uid="{00000000-0006-0000-0600-00000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4" authorId="0" shapeId="0" xr:uid="{00000000-0006-0000-0600-000010000000}">
      <text>
        <r>
          <rPr>
            <sz val="8"/>
            <color indexed="81"/>
            <rFont val="Tahoma"/>
            <family val="2"/>
          </rPr>
          <t>Objective cell</t>
        </r>
      </text>
    </comment>
  </commentList>
</comments>
</file>

<file path=xl/sharedStrings.xml><?xml version="1.0" encoding="utf-8"?>
<sst xmlns="http://schemas.openxmlformats.org/spreadsheetml/2006/main" count="103" uniqueCount="65">
  <si>
    <t>Ship</t>
  </si>
  <si>
    <t xml:space="preserve">  From</t>
  </si>
  <si>
    <t xml:space="preserve">  To</t>
  </si>
  <si>
    <t>Unit Cost</t>
  </si>
  <si>
    <t xml:space="preserve">  Nodes</t>
  </si>
  <si>
    <t>Net Flow</t>
  </si>
  <si>
    <t>Supply/Demand</t>
  </si>
  <si>
    <t xml:space="preserve">Total Transportation Cost </t>
  </si>
  <si>
    <t>D1</t>
  </si>
  <si>
    <t>D2</t>
  </si>
  <si>
    <t>D3</t>
  </si>
  <si>
    <t>X1</t>
  </si>
  <si>
    <t>X2</t>
  </si>
  <si>
    <t>X3</t>
  </si>
  <si>
    <t>X4</t>
  </si>
  <si>
    <t>P1</t>
  </si>
  <si>
    <t>P2</t>
  </si>
  <si>
    <t>P3</t>
  </si>
  <si>
    <t>C1</t>
  </si>
  <si>
    <t>C2</t>
  </si>
  <si>
    <t>C3</t>
  </si>
  <si>
    <t>C4</t>
  </si>
  <si>
    <t>Q12-8</t>
  </si>
  <si>
    <t>Bug-Off Chemicals</t>
  </si>
  <si>
    <t>From</t>
  </si>
  <si>
    <t>Shipping cost to Warehouse</t>
  </si>
  <si>
    <t>Plant</t>
  </si>
  <si>
    <t>Capacity</t>
  </si>
  <si>
    <t>Dummy</t>
  </si>
  <si>
    <t>Demand</t>
  </si>
  <si>
    <t>C(min)</t>
  </si>
  <si>
    <t>Solution</t>
  </si>
  <si>
    <t>Total</t>
  </si>
  <si>
    <t>Oil Supply Company</t>
  </si>
  <si>
    <t>Preferences</t>
  </si>
  <si>
    <t>Preferences coded 10 = first, 5 = second, 1 = third</t>
  </si>
  <si>
    <t>Person</t>
  </si>
  <si>
    <t>Check</t>
  </si>
  <si>
    <t>Check:</t>
  </si>
  <si>
    <t>Total:</t>
  </si>
  <si>
    <t>A</t>
  </si>
  <si>
    <t>B</t>
  </si>
  <si>
    <t>C</t>
  </si>
  <si>
    <t>D</t>
  </si>
  <si>
    <t>E</t>
  </si>
  <si>
    <t>F</t>
  </si>
  <si>
    <t>G</t>
  </si>
  <si>
    <t>H</t>
  </si>
  <si>
    <t>2nd Choice</t>
  </si>
  <si>
    <t>1st Choice</t>
  </si>
  <si>
    <t>3rd Choice</t>
  </si>
  <si>
    <t>Arcs</t>
  </si>
  <si>
    <t>Ship:</t>
  </si>
  <si>
    <t>From:</t>
  </si>
  <si>
    <t>To:</t>
  </si>
  <si>
    <t>Cost</t>
  </si>
  <si>
    <t>Node</t>
  </si>
  <si>
    <t>Supply or Demand</t>
  </si>
  <si>
    <t>a.</t>
  </si>
  <si>
    <t xml:space="preserve">Supply nodes:  1, 2 </t>
  </si>
  <si>
    <t>Demand node:  6</t>
  </si>
  <si>
    <t>Transshipment nodes: 3, 4 &amp; 5</t>
  </si>
  <si>
    <t>b.</t>
  </si>
  <si>
    <t>See file: Prb5_17.xlsm</t>
  </si>
  <si>
    <r>
      <t>The solution is:  X</t>
    </r>
    <r>
      <rPr>
        <sz val="8"/>
        <rFont val="Times New Roman"/>
        <family val="1"/>
      </rPr>
      <t>13</t>
    </r>
    <r>
      <rPr>
        <sz val="10"/>
        <rFont val="Times New Roman"/>
        <family val="1"/>
      </rPr>
      <t>=20, X</t>
    </r>
    <r>
      <rPr>
        <sz val="8"/>
        <rFont val="Times New Roman"/>
        <family val="1"/>
      </rPr>
      <t>24</t>
    </r>
    <r>
      <rPr>
        <sz val="10"/>
        <rFont val="Times New Roman"/>
        <family val="1"/>
      </rPr>
      <t>=10, X</t>
    </r>
    <r>
      <rPr>
        <sz val="8"/>
        <rFont val="Times New Roman"/>
        <family val="1"/>
      </rPr>
      <t>25</t>
    </r>
    <r>
      <rPr>
        <sz val="10"/>
        <rFont val="Times New Roman"/>
        <family val="1"/>
      </rPr>
      <t>=30, X</t>
    </r>
    <r>
      <rPr>
        <sz val="8"/>
        <rFont val="Times New Roman"/>
        <family val="1"/>
      </rPr>
      <t>36</t>
    </r>
    <r>
      <rPr>
        <sz val="10"/>
        <rFont val="Times New Roman"/>
        <family val="1"/>
      </rPr>
      <t>=40,  with a minimum total cost of $2,700.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</si>
</sst>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164" formatCode="&quot;$&quot;#,##0"/>
    <numFmt numFmtId="165" formatCode="General_)"/>
    <numFmt numFmtId="166" formatCode="&quot;$&quot;#,##0.0_);\(&quot;$&quot;#,##0.0\)"/>
    <numFmt numFmtId="167" formatCode="0.0_)"/>
  </numFmts>
  <fonts count="1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Times New Roman"/>
      <family val="1"/>
    </font>
    <font>
      <b/>
      <sz val="11"/>
      <name val="Times New Roman"/>
      <family val="1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7" fillId="2" borderId="2" xfId="0" applyFont="1" applyFill="1" applyBorder="1" applyAlignment="1">
      <alignment horizontal="center"/>
    </xf>
    <xf numFmtId="164" fontId="8" fillId="2" borderId="3" xfId="0" applyNumberFormat="1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0" fillId="0" borderId="0" xfId="0" applyAlignment="1"/>
    <xf numFmtId="0" fontId="7" fillId="2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10" fillId="0" borderId="0" xfId="0" applyFont="1"/>
    <xf numFmtId="0" fontId="10" fillId="0" borderId="8" xfId="0" applyFont="1" applyBorder="1"/>
    <xf numFmtId="0" fontId="11" fillId="0" borderId="0" xfId="0" applyFont="1" applyAlignment="1">
      <alignment horizontal="left"/>
    </xf>
    <xf numFmtId="0" fontId="11" fillId="0" borderId="0" xfId="0" applyFon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6" fontId="0" fillId="4" borderId="4" xfId="0" applyNumberForma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3" xfId="0" applyBorder="1"/>
    <xf numFmtId="0" fontId="0" fillId="0" borderId="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3" borderId="18" xfId="0" applyFont="1" applyFill="1" applyBorder="1" applyAlignment="1">
      <alignment horizontal="center"/>
    </xf>
    <xf numFmtId="1" fontId="12" fillId="0" borderId="18" xfId="0" applyNumberFormat="1" applyFont="1" applyBorder="1" applyAlignment="1">
      <alignment horizontal="center"/>
    </xf>
    <xf numFmtId="0" fontId="1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165" fontId="14" fillId="0" borderId="0" xfId="0" applyNumberFormat="1" applyFont="1" applyAlignment="1" applyProtection="1">
      <alignment horizontal="right"/>
      <protection locked="0"/>
    </xf>
    <xf numFmtId="0" fontId="15" fillId="0" borderId="0" xfId="0" applyFont="1" applyBorder="1" applyAlignment="1" applyProtection="1">
      <alignment horizontal="center"/>
    </xf>
    <xf numFmtId="165" fontId="2" fillId="0" borderId="0" xfId="0" applyNumberFormat="1" applyFont="1" applyProtection="1"/>
    <xf numFmtId="0" fontId="1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Continuous"/>
    </xf>
    <xf numFmtId="1" fontId="3" fillId="5" borderId="2" xfId="0" applyNumberFormat="1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6" fontId="1" fillId="0" borderId="0" xfId="0" applyNumberFormat="1" applyFont="1" applyAlignment="1" applyProtection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166" fontId="1" fillId="0" borderId="1" xfId="0" applyNumberFormat="1" applyFont="1" applyBorder="1" applyAlignment="1" applyProtection="1">
      <alignment horizontal="center"/>
    </xf>
    <xf numFmtId="166" fontId="8" fillId="5" borderId="3" xfId="0" applyNumberFormat="1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left"/>
    </xf>
    <xf numFmtId="167" fontId="2" fillId="0" borderId="0" xfId="0" applyNumberFormat="1" applyFont="1" applyProtection="1"/>
    <xf numFmtId="165" fontId="14" fillId="0" borderId="0" xfId="0" applyNumberFormat="1" applyFont="1" applyProtection="1">
      <protection locked="0"/>
    </xf>
    <xf numFmtId="0" fontId="16" fillId="0" borderId="0" xfId="0" applyFont="1" applyAlignment="1">
      <alignment horizontal="left" vertical="center" indent="2"/>
    </xf>
    <xf numFmtId="0" fontId="0" fillId="0" borderId="0" xfId="0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304800</xdr:colOff>
      <xdr:row>0</xdr:row>
      <xdr:rowOff>127000</xdr:rowOff>
    </xdr:from>
    <xdr:to>
      <xdr:col>14</xdr:col>
      <xdr:colOff>373380</xdr:colOff>
      <xdr:row>15</xdr:row>
      <xdr:rowOff>58420</xdr:rowOff>
    </xdr:to>
    <xdr:pic>
      <xdr:nvPicPr>
        <xdr:cNvPr id="4106" name="Picture 3">
          <a:extLst>
            <a:ext uri="{FF2B5EF4-FFF2-40B4-BE49-F238E27FC236}">
              <a16:creationId xmlns:a16="http://schemas.microsoft.com/office/drawing/2014/main" id="{00000000-0008-0000-0100-00000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7000"/>
          <a:ext cx="4335780" cy="23888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794385</xdr:colOff>
      <xdr:row>0</xdr:row>
      <xdr:rowOff>142875</xdr:rowOff>
    </xdr:from>
    <xdr:to>
      <xdr:col>9</xdr:col>
      <xdr:colOff>520065</xdr:colOff>
      <xdr:row>2</xdr:row>
      <xdr:rowOff>160062</xdr:rowOff>
    </xdr:to>
    <xdr:sp macro="[0]!Toggle" textlink="">
      <xdr:nvSpPr>
        <xdr:cNvPr id="1026" name="Text 2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ChangeArrowheads="1"/>
        </xdr:cNvSpPr>
      </xdr:nvSpPr>
      <xdr:spPr bwMode="auto">
        <a:xfrm>
          <a:off x="1647825" y="142875"/>
          <a:ext cx="271462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Oil Supply</a:t>
          </a:r>
          <a:r>
            <a:rPr lang="en-AU" sz="1000" b="1" i="0" strike="noStrike" baseline="0">
              <a:solidFill>
                <a:srgbClr val="000000"/>
              </a:solidFill>
              <a:latin typeface="Arial"/>
              <a:cs typeface="Arial"/>
            </a:rPr>
            <a:t> Company</a:t>
          </a:r>
          <a:endParaRPr lang="en-AU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472440</xdr:colOff>
      <xdr:row>13</xdr:row>
      <xdr:rowOff>9525</xdr:rowOff>
    </xdr:from>
    <xdr:to>
      <xdr:col>11</xdr:col>
      <xdr:colOff>577215</xdr:colOff>
      <xdr:row>18</xdr:row>
      <xdr:rowOff>57150</xdr:rowOff>
    </xdr:to>
    <xdr:sp macro="" textlink="">
      <xdr:nvSpPr>
        <xdr:cNvPr id="1027" name="Note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 txBox="1">
          <a:spLocks noChangeArrowheads="1"/>
        </xdr:cNvSpPr>
      </xdr:nvSpPr>
      <xdr:spPr bwMode="auto">
        <a:xfrm>
          <a:off x="3629025" y="2133600"/>
          <a:ext cx="2200275" cy="7143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G19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B6:B17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K6:K12=L6:L12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B6:B17&gt;=0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    </a:t>
          </a:r>
        </a:p>
        <a:p>
          <a:pPr algn="l" rtl="0">
            <a:defRPr sz="1000"/>
          </a:pPr>
          <a:endParaRPr lang="en-AU" sz="1000" b="0" i="0" strike="noStrike">
            <a:solidFill>
              <a:srgbClr val="000000"/>
            </a:solidFill>
            <a:latin typeface="Fixedsys"/>
          </a:endParaRPr>
        </a:p>
      </xdr:txBody>
    </xdr:sp>
    <xdr:clientData/>
  </xdr:twoCellAnchor>
  <xdr:twoCellAnchor>
    <xdr:from>
      <xdr:col>12</xdr:col>
      <xdr:colOff>342900</xdr:colOff>
      <xdr:row>4</xdr:row>
      <xdr:rowOff>131445</xdr:rowOff>
    </xdr:from>
    <xdr:to>
      <xdr:col>16</xdr:col>
      <xdr:colOff>295275</xdr:colOff>
      <xdr:row>8</xdr:row>
      <xdr:rowOff>66721</xdr:rowOff>
    </xdr:to>
    <xdr:sp macro="" textlink="">
      <xdr:nvSpPr>
        <xdr:cNvPr id="4" name="Line Callout 1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6638925" y="771525"/>
          <a:ext cx="2390775" cy="600075"/>
        </a:xfrm>
        <a:prstGeom prst="borderCallout1">
          <a:avLst>
            <a:gd name="adj1" fmla="val 56317"/>
            <a:gd name="adj2" fmla="val -3314"/>
            <a:gd name="adj3" fmla="val 115146"/>
            <a:gd name="adj4" fmla="val -21675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AU" sz="1100">
              <a:solidFill>
                <a:srgbClr val="FF0000"/>
              </a:solidFill>
            </a:rPr>
            <a:t>Since Supply = Demand,</a:t>
          </a:r>
        </a:p>
        <a:p>
          <a:pPr algn="ctr"/>
          <a:r>
            <a:rPr lang="en-AU" sz="1100">
              <a:solidFill>
                <a:srgbClr val="FF0000"/>
              </a:solidFill>
            </a:rPr>
            <a:t> Inflow</a:t>
          </a:r>
          <a:r>
            <a:rPr lang="en-AU" sz="1100" baseline="0">
              <a:solidFill>
                <a:srgbClr val="FF0000"/>
              </a:solidFill>
            </a:rPr>
            <a:t> - Outflow = Supply or Demand</a:t>
          </a:r>
          <a:endParaRPr lang="en-AU" sz="1100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794385</xdr:colOff>
      <xdr:row>0</xdr:row>
      <xdr:rowOff>142875</xdr:rowOff>
    </xdr:from>
    <xdr:to>
      <xdr:col>9</xdr:col>
      <xdr:colOff>520065</xdr:colOff>
      <xdr:row>2</xdr:row>
      <xdr:rowOff>160062</xdr:rowOff>
    </xdr:to>
    <xdr:sp macro="[0]!Toggle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647825" y="142875"/>
          <a:ext cx="271462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BugOff Chemicals</a:t>
          </a:r>
        </a:p>
      </xdr:txBody>
    </xdr:sp>
    <xdr:clientData/>
  </xdr:twoCellAnchor>
  <xdr:twoCellAnchor>
    <xdr:from>
      <xdr:col>7</xdr:col>
      <xdr:colOff>472440</xdr:colOff>
      <xdr:row>13</xdr:row>
      <xdr:rowOff>9525</xdr:rowOff>
    </xdr:from>
    <xdr:to>
      <xdr:col>11</xdr:col>
      <xdr:colOff>577215</xdr:colOff>
      <xdr:row>18</xdr:row>
      <xdr:rowOff>57150</xdr:rowOff>
    </xdr:to>
    <xdr:sp macro="" textlink="">
      <xdr:nvSpPr>
        <xdr:cNvPr id="3" name="Not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3629025" y="2133600"/>
          <a:ext cx="2200275" cy="8763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G19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B6:B17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K6:K12&lt;=L6:L12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B6:B17&gt;=0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    </a:t>
          </a:r>
        </a:p>
        <a:p>
          <a:pPr algn="l" rtl="0">
            <a:defRPr sz="1000"/>
          </a:pPr>
          <a:endParaRPr lang="en-AU" sz="1000" b="0" i="0" strike="noStrike">
            <a:solidFill>
              <a:srgbClr val="000000"/>
            </a:solidFill>
            <a:latin typeface="Fixedsys"/>
          </a:endParaRPr>
        </a:p>
      </xdr:txBody>
    </xdr:sp>
    <xdr:clientData/>
  </xdr:twoCellAnchor>
  <xdr:twoCellAnchor>
    <xdr:from>
      <xdr:col>12</xdr:col>
      <xdr:colOff>342900</xdr:colOff>
      <xdr:row>4</xdr:row>
      <xdr:rowOff>131445</xdr:rowOff>
    </xdr:from>
    <xdr:to>
      <xdr:col>16</xdr:col>
      <xdr:colOff>295275</xdr:colOff>
      <xdr:row>8</xdr:row>
      <xdr:rowOff>66721</xdr:rowOff>
    </xdr:to>
    <xdr:sp macro="" textlink="">
      <xdr:nvSpPr>
        <xdr:cNvPr id="4" name="Line Callout 1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6638925" y="771525"/>
          <a:ext cx="2390775" cy="600075"/>
        </a:xfrm>
        <a:prstGeom prst="borderCallout1">
          <a:avLst>
            <a:gd name="adj1" fmla="val 56317"/>
            <a:gd name="adj2" fmla="val -3314"/>
            <a:gd name="adj3" fmla="val 115146"/>
            <a:gd name="adj4" fmla="val -21675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AU" sz="1100">
              <a:solidFill>
                <a:srgbClr val="FF0000"/>
              </a:solidFill>
            </a:rPr>
            <a:t>Since Supply &lt; Demand,</a:t>
          </a:r>
        </a:p>
        <a:p>
          <a:pPr algn="ctr"/>
          <a:r>
            <a:rPr lang="en-AU" sz="1100">
              <a:solidFill>
                <a:srgbClr val="FF0000"/>
              </a:solidFill>
            </a:rPr>
            <a:t> Inflow</a:t>
          </a:r>
          <a:r>
            <a:rPr lang="en-AU" sz="1100" baseline="0">
              <a:solidFill>
                <a:srgbClr val="FF0000"/>
              </a:solidFill>
            </a:rPr>
            <a:t> - Outflow ≤ Supply or Demand</a:t>
          </a:r>
          <a:endParaRPr lang="en-AU" sz="11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12</xdr:col>
      <xdr:colOff>241300</xdr:colOff>
      <xdr:row>8</xdr:row>
      <xdr:rowOff>155709</xdr:rowOff>
    </xdr:from>
    <xdr:to>
      <xdr:col>20</xdr:col>
      <xdr:colOff>406400</xdr:colOff>
      <xdr:row>29</xdr:row>
      <xdr:rowOff>88465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6D973B-558C-5C5E-ADCC-603FF7DC1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6250" y="1463809"/>
          <a:ext cx="5041900" cy="33744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227704</xdr:colOff>
      <xdr:row>4</xdr:row>
      <xdr:rowOff>16735</xdr:rowOff>
    </xdr:from>
    <xdr:to>
      <xdr:col>21</xdr:col>
      <xdr:colOff>296283</xdr:colOff>
      <xdr:row>17</xdr:row>
      <xdr:rowOff>91590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3233" y="733911"/>
          <a:ext cx="4356697" cy="23608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85725</xdr:rowOff>
    </xdr:from>
    <xdr:to>
      <xdr:col>6</xdr:col>
      <xdr:colOff>285750</xdr:colOff>
      <xdr:row>1</xdr:row>
      <xdr:rowOff>133350</xdr:rowOff>
    </xdr:to>
    <xdr:sp macro="[1]!Toggle" textlink="">
      <xdr:nvSpPr>
        <xdr:cNvPr id="2" name="Tex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588770" y="85725"/>
          <a:ext cx="1874520" cy="21526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Furniture Distribution</a:t>
          </a:r>
        </a:p>
      </xdr:txBody>
    </xdr:sp>
    <xdr:clientData/>
  </xdr:twoCellAnchor>
  <xdr:twoCellAnchor>
    <xdr:from>
      <xdr:col>6</xdr:col>
      <xdr:colOff>28575</xdr:colOff>
      <xdr:row>11</xdr:row>
      <xdr:rowOff>142875</xdr:rowOff>
    </xdr:from>
    <xdr:to>
      <xdr:col>8</xdr:col>
      <xdr:colOff>371475</xdr:colOff>
      <xdr:row>16</xdr:row>
      <xdr:rowOff>0</xdr:rowOff>
    </xdr:to>
    <xdr:sp macro="" textlink="">
      <xdr:nvSpPr>
        <xdr:cNvPr id="3" name="Not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3206115" y="2002155"/>
          <a:ext cx="2377440" cy="72580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D14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A5:A13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G5:G10&gt;=H5:H10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A5:A13&gt;=0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.monash.edu\home\User081\phlee\Documents\2018\FIT3158\Book\Ragsdale_Spreadsheet%20Modeling%20and%20Decision%20Analysis\Solutions\C05\Prb5_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ipping Plan"/>
      <sheetName val="SMDA"/>
      <sheetName val="Prb5_17"/>
    </sheetNames>
    <definedNames>
      <definedName name="Toggle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5"/>
  <sheetViews>
    <sheetView workbookViewId="0">
      <selection activeCell="J22" sqref="J22"/>
    </sheetView>
  </sheetViews>
  <sheetFormatPr defaultRowHeight="12.5" x14ac:dyDescent="0.25"/>
  <sheetData>
    <row r="1" spans="1:7" ht="15.5" x14ac:dyDescent="0.35">
      <c r="B1" s="27" t="s">
        <v>33</v>
      </c>
      <c r="C1" s="27"/>
      <c r="D1" s="27"/>
      <c r="E1" s="27"/>
      <c r="F1" s="27"/>
    </row>
    <row r="2" spans="1:7" ht="15.5" x14ac:dyDescent="0.35">
      <c r="A2" s="28"/>
    </row>
    <row r="3" spans="1:7" x14ac:dyDescent="0.25">
      <c r="A3" s="29" t="s">
        <v>24</v>
      </c>
      <c r="B3" s="78" t="s">
        <v>25</v>
      </c>
      <c r="C3" s="79"/>
      <c r="D3" s="79"/>
      <c r="E3" s="80"/>
    </row>
    <row r="4" spans="1:7" x14ac:dyDescent="0.25">
      <c r="A4" s="32" t="s">
        <v>26</v>
      </c>
      <c r="B4" s="43" t="s">
        <v>11</v>
      </c>
      <c r="C4" s="44" t="s">
        <v>12</v>
      </c>
      <c r="D4" s="44" t="s">
        <v>13</v>
      </c>
      <c r="E4" s="45" t="s">
        <v>14</v>
      </c>
      <c r="F4" s="49" t="s">
        <v>27</v>
      </c>
    </row>
    <row r="5" spans="1:7" x14ac:dyDescent="0.25">
      <c r="A5" s="46" t="s">
        <v>8</v>
      </c>
      <c r="B5" s="29">
        <v>13</v>
      </c>
      <c r="C5" s="30">
        <v>8</v>
      </c>
      <c r="D5" s="30">
        <v>6</v>
      </c>
      <c r="E5" s="31">
        <v>9</v>
      </c>
      <c r="F5" s="50">
        <v>160</v>
      </c>
    </row>
    <row r="6" spans="1:7" x14ac:dyDescent="0.25">
      <c r="A6" s="42" t="s">
        <v>9</v>
      </c>
      <c r="B6" s="36">
        <v>9</v>
      </c>
      <c r="C6" s="10">
        <v>10</v>
      </c>
      <c r="D6" s="10">
        <v>12</v>
      </c>
      <c r="E6" s="37">
        <v>17</v>
      </c>
      <c r="F6" s="51">
        <v>100</v>
      </c>
    </row>
    <row r="7" spans="1:7" x14ac:dyDescent="0.25">
      <c r="A7" s="47" t="s">
        <v>10</v>
      </c>
      <c r="B7" s="32">
        <v>15</v>
      </c>
      <c r="C7" s="39">
        <v>11</v>
      </c>
      <c r="D7" s="39">
        <v>7</v>
      </c>
      <c r="E7" s="40">
        <v>8</v>
      </c>
      <c r="F7" s="38">
        <v>240</v>
      </c>
    </row>
    <row r="8" spans="1:7" x14ac:dyDescent="0.25">
      <c r="A8" s="48" t="s">
        <v>29</v>
      </c>
      <c r="B8" s="34">
        <v>180</v>
      </c>
      <c r="C8" s="34">
        <v>140</v>
      </c>
      <c r="D8" s="34">
        <v>80</v>
      </c>
      <c r="E8" s="35">
        <v>100</v>
      </c>
      <c r="G8" t="s">
        <v>30</v>
      </c>
    </row>
    <row r="9" spans="1:7" x14ac:dyDescent="0.25">
      <c r="C9" t="s">
        <v>31</v>
      </c>
      <c r="G9" s="41">
        <f>SUMPRODUCT(B5:E7,B12:E14)</f>
        <v>4539.9999999881675</v>
      </c>
    </row>
    <row r="10" spans="1:7" x14ac:dyDescent="0.25">
      <c r="A10" s="29" t="s">
        <v>24</v>
      </c>
      <c r="B10" s="81" t="str">
        <f>B3</f>
        <v>Shipping cost to Warehouse</v>
      </c>
      <c r="C10" s="82"/>
      <c r="D10" s="82"/>
      <c r="E10" s="83"/>
    </row>
    <row r="11" spans="1:7" x14ac:dyDescent="0.25">
      <c r="A11" s="38" t="s">
        <v>26</v>
      </c>
      <c r="B11" s="33" t="str">
        <f>B4</f>
        <v>X1</v>
      </c>
      <c r="C11" s="34" t="str">
        <f>C4</f>
        <v>X2</v>
      </c>
      <c r="D11" s="34" t="str">
        <f>D4</f>
        <v>X3</v>
      </c>
      <c r="E11" s="35" t="str">
        <f>E4</f>
        <v>X4</v>
      </c>
      <c r="F11" s="49" t="s">
        <v>32</v>
      </c>
    </row>
    <row r="12" spans="1:7" x14ac:dyDescent="0.25">
      <c r="A12" s="29" t="str">
        <f>A5</f>
        <v>D1</v>
      </c>
      <c r="B12" s="29">
        <v>19.999999999904503</v>
      </c>
      <c r="C12" s="30">
        <v>139.99999999943384</v>
      </c>
      <c r="D12" s="30">
        <v>0</v>
      </c>
      <c r="E12" s="31">
        <v>0</v>
      </c>
      <c r="F12" s="50">
        <f>SUM(B12:E12)</f>
        <v>159.99999999933834</v>
      </c>
    </row>
    <row r="13" spans="1:7" x14ac:dyDescent="0.25">
      <c r="A13" s="36" t="str">
        <f>A6</f>
        <v>D2</v>
      </c>
      <c r="B13" s="36">
        <v>99.999999999818101</v>
      </c>
      <c r="C13" s="10">
        <v>0</v>
      </c>
      <c r="D13" s="10">
        <v>0</v>
      </c>
      <c r="E13" s="37">
        <v>0</v>
      </c>
      <c r="F13" s="51">
        <f>SUM(B13:E13)</f>
        <v>99.999999999818101</v>
      </c>
    </row>
    <row r="14" spans="1:7" x14ac:dyDescent="0.25">
      <c r="A14" s="32" t="str">
        <f>A7</f>
        <v>D3</v>
      </c>
      <c r="B14" s="32">
        <v>59.999999999895408</v>
      </c>
      <c r="C14" s="39">
        <v>0</v>
      </c>
      <c r="D14" s="39">
        <v>79.999999999799911</v>
      </c>
      <c r="E14" s="40">
        <v>99.999999999818101</v>
      </c>
      <c r="F14" s="38">
        <f>SUM(B14:E14)</f>
        <v>239.99999999951342</v>
      </c>
    </row>
    <row r="15" spans="1:7" x14ac:dyDescent="0.25">
      <c r="A15" s="48" t="s">
        <v>32</v>
      </c>
      <c r="B15" s="34">
        <f>SUM(B12:B14)</f>
        <v>179.99999999961801</v>
      </c>
      <c r="C15" s="34">
        <f>SUM(C12:C14)</f>
        <v>139.99999999943384</v>
      </c>
      <c r="D15" s="34">
        <f>SUM(D12:D14)</f>
        <v>79.999999999799911</v>
      </c>
      <c r="E15" s="35">
        <f>SUM(E12:E14)</f>
        <v>99.999999999818101</v>
      </c>
    </row>
  </sheetData>
  <mergeCells count="2">
    <mergeCell ref="B3:E3"/>
    <mergeCell ref="B10:E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L20"/>
  <sheetViews>
    <sheetView workbookViewId="0">
      <selection activeCell="G26" sqref="G26"/>
    </sheetView>
  </sheetViews>
  <sheetFormatPr defaultRowHeight="12.5" x14ac:dyDescent="0.25"/>
  <cols>
    <col min="1" max="1" width="5.453125" customWidth="1"/>
    <col min="2" max="2" width="5.08984375" customWidth="1"/>
    <col min="3" max="3" width="2.54296875" style="1" customWidth="1"/>
    <col min="4" max="4" width="12.08984375" customWidth="1"/>
    <col min="5" max="5" width="3.08984375" style="1" customWidth="1"/>
    <col min="6" max="6" width="10.08984375" customWidth="1"/>
    <col min="7" max="7" width="9" style="1" customWidth="1"/>
    <col min="8" max="8" width="7" customWidth="1"/>
    <col min="9" max="9" width="3.36328125" style="1" customWidth="1"/>
    <col min="10" max="10" width="12.08984375" customWidth="1"/>
    <col min="11" max="11" width="9" customWidth="1"/>
    <col min="12" max="12" width="15.453125" style="1" customWidth="1"/>
  </cols>
  <sheetData>
    <row r="2" spans="2:12" x14ac:dyDescent="0.25">
      <c r="G2" s="22"/>
    </row>
    <row r="4" spans="2:12" ht="13" x14ac:dyDescent="0.3">
      <c r="B4" s="1"/>
      <c r="G4" s="2"/>
    </row>
    <row r="5" spans="2:12" ht="13.5" thickBot="1" x14ac:dyDescent="0.35">
      <c r="B5" s="3" t="s">
        <v>0</v>
      </c>
      <c r="C5" s="5" t="s">
        <v>1</v>
      </c>
      <c r="D5" s="5"/>
      <c r="E5" s="5" t="s">
        <v>2</v>
      </c>
      <c r="F5" s="4"/>
      <c r="G5" s="3" t="s">
        <v>3</v>
      </c>
      <c r="I5" s="5" t="s">
        <v>4</v>
      </c>
      <c r="J5" s="9"/>
      <c r="K5" s="3" t="s">
        <v>5</v>
      </c>
      <c r="L5" s="3" t="s">
        <v>6</v>
      </c>
    </row>
    <row r="6" spans="2:12" ht="13" x14ac:dyDescent="0.3">
      <c r="B6" s="18">
        <v>19.999999999507352</v>
      </c>
      <c r="C6" s="2">
        <v>1</v>
      </c>
      <c r="D6" s="16" t="str">
        <f>VLOOKUP(C6,$I$6:$J$12,2)</f>
        <v>D1</v>
      </c>
      <c r="E6" s="2">
        <v>4</v>
      </c>
      <c r="F6" s="16" t="str">
        <f t="shared" ref="F6:F17" si="0">VLOOKUP(E6,$I$6:$J$12,2)</f>
        <v>X1</v>
      </c>
      <c r="G6" s="11">
        <v>13</v>
      </c>
      <c r="I6" s="2">
        <v>1</v>
      </c>
      <c r="J6" s="25" t="s">
        <v>8</v>
      </c>
      <c r="K6" s="20">
        <f t="shared" ref="K6:K12" si="1">SUMIF($E$6:$E$17,I6,$B$6:$B$17)-SUMIF($C$6:$C$17,I6,$B$6:$B$17)</f>
        <v>-159.99999999997937</v>
      </c>
      <c r="L6" s="2">
        <v>-160</v>
      </c>
    </row>
    <row r="7" spans="2:12" ht="13" x14ac:dyDescent="0.3">
      <c r="B7" s="18">
        <v>140.00000000047203</v>
      </c>
      <c r="C7" s="2">
        <v>1</v>
      </c>
      <c r="D7" s="16" t="str">
        <f t="shared" ref="D7:D17" si="2">VLOOKUP(C7,$I$6:$J$12,2)</f>
        <v>D1</v>
      </c>
      <c r="E7" s="2">
        <v>5</v>
      </c>
      <c r="F7" s="16" t="str">
        <f t="shared" si="0"/>
        <v>X2</v>
      </c>
      <c r="G7" s="11">
        <v>8</v>
      </c>
      <c r="I7" s="2">
        <v>2</v>
      </c>
      <c r="J7" s="25" t="s">
        <v>9</v>
      </c>
      <c r="K7" s="20">
        <f t="shared" si="1"/>
        <v>-99.999999968202957</v>
      </c>
      <c r="L7" s="2">
        <v>-100</v>
      </c>
    </row>
    <row r="8" spans="2:12" ht="13" x14ac:dyDescent="0.3">
      <c r="B8" s="18">
        <v>0</v>
      </c>
      <c r="C8" s="2">
        <v>1</v>
      </c>
      <c r="D8" s="16" t="str">
        <f t="shared" si="2"/>
        <v>D1</v>
      </c>
      <c r="E8" s="2">
        <v>6</v>
      </c>
      <c r="F8" s="16" t="str">
        <f t="shared" si="0"/>
        <v>X3</v>
      </c>
      <c r="G8" s="11">
        <v>6</v>
      </c>
      <c r="I8" s="2">
        <v>3</v>
      </c>
      <c r="J8" s="25" t="s">
        <v>10</v>
      </c>
      <c r="K8" s="20">
        <f t="shared" si="1"/>
        <v>-240.00000000000006</v>
      </c>
      <c r="L8" s="2">
        <v>-240</v>
      </c>
    </row>
    <row r="9" spans="2:12" ht="13" x14ac:dyDescent="0.3">
      <c r="B9" s="18">
        <v>0</v>
      </c>
      <c r="C9" s="2">
        <v>1</v>
      </c>
      <c r="D9" s="16" t="str">
        <f t="shared" si="2"/>
        <v>D1</v>
      </c>
      <c r="E9" s="2">
        <v>7</v>
      </c>
      <c r="F9" s="16" t="str">
        <f t="shared" si="0"/>
        <v>X4</v>
      </c>
      <c r="G9" s="11">
        <v>9</v>
      </c>
      <c r="I9" s="2">
        <v>4</v>
      </c>
      <c r="J9" s="25" t="s">
        <v>11</v>
      </c>
      <c r="K9" s="20">
        <f t="shared" si="1"/>
        <v>179.999999968184</v>
      </c>
      <c r="L9" s="2">
        <v>180</v>
      </c>
    </row>
    <row r="10" spans="2:12" ht="13" x14ac:dyDescent="0.3">
      <c r="B10" s="18">
        <v>99.999999968202957</v>
      </c>
      <c r="C10" s="2">
        <v>2</v>
      </c>
      <c r="D10" s="16" t="str">
        <f t="shared" si="2"/>
        <v>D2</v>
      </c>
      <c r="E10" s="2">
        <v>4</v>
      </c>
      <c r="F10" s="16" t="str">
        <f t="shared" si="0"/>
        <v>X1</v>
      </c>
      <c r="G10" s="11">
        <v>9</v>
      </c>
      <c r="I10" s="2">
        <v>5</v>
      </c>
      <c r="J10" s="25" t="s">
        <v>12</v>
      </c>
      <c r="K10" s="20">
        <f t="shared" si="1"/>
        <v>140.00000000047203</v>
      </c>
      <c r="L10" s="2">
        <v>140</v>
      </c>
    </row>
    <row r="11" spans="2:12" ht="13" x14ac:dyDescent="0.3">
      <c r="B11" s="18">
        <v>0</v>
      </c>
      <c r="C11" s="2">
        <v>2</v>
      </c>
      <c r="D11" s="16" t="str">
        <f t="shared" si="2"/>
        <v>D2</v>
      </c>
      <c r="E11" s="2">
        <v>5</v>
      </c>
      <c r="F11" s="16" t="str">
        <f t="shared" si="0"/>
        <v>X2</v>
      </c>
      <c r="G11" s="11">
        <v>10</v>
      </c>
      <c r="I11" s="2">
        <v>6</v>
      </c>
      <c r="J11" s="25" t="s">
        <v>13</v>
      </c>
      <c r="K11" s="20">
        <f t="shared" si="1"/>
        <v>80</v>
      </c>
      <c r="L11" s="2">
        <v>80</v>
      </c>
    </row>
    <row r="12" spans="2:12" ht="13.5" thickBot="1" x14ac:dyDescent="0.35">
      <c r="B12" s="18">
        <v>0</v>
      </c>
      <c r="C12" s="2">
        <v>2</v>
      </c>
      <c r="D12" s="16" t="str">
        <f t="shared" si="2"/>
        <v>D2</v>
      </c>
      <c r="E12" s="2">
        <v>6</v>
      </c>
      <c r="F12" s="16" t="str">
        <f t="shared" si="0"/>
        <v>X3</v>
      </c>
      <c r="G12" s="11">
        <v>12</v>
      </c>
      <c r="I12" s="3">
        <v>7</v>
      </c>
      <c r="J12" s="26" t="s">
        <v>14</v>
      </c>
      <c r="K12" s="21">
        <f t="shared" si="1"/>
        <v>99.999999999526338</v>
      </c>
      <c r="L12" s="3">
        <v>100</v>
      </c>
    </row>
    <row r="13" spans="2:12" ht="13" x14ac:dyDescent="0.3">
      <c r="B13" s="18">
        <v>0</v>
      </c>
      <c r="C13" s="2">
        <v>2</v>
      </c>
      <c r="D13" s="16" t="str">
        <f t="shared" si="2"/>
        <v>D2</v>
      </c>
      <c r="E13" s="2">
        <v>7</v>
      </c>
      <c r="F13" s="16" t="str">
        <f t="shared" si="0"/>
        <v>X4</v>
      </c>
      <c r="G13" s="11">
        <v>17</v>
      </c>
      <c r="I13" s="13"/>
      <c r="J13" s="14"/>
      <c r="K13" s="15"/>
      <c r="L13" s="13"/>
    </row>
    <row r="14" spans="2:12" ht="13" x14ac:dyDescent="0.3">
      <c r="B14" s="18">
        <v>60.000000000473705</v>
      </c>
      <c r="C14" s="2">
        <v>3</v>
      </c>
      <c r="D14" s="16" t="str">
        <f t="shared" si="2"/>
        <v>D3</v>
      </c>
      <c r="E14" s="2">
        <v>4</v>
      </c>
      <c r="F14" s="16" t="str">
        <f t="shared" si="0"/>
        <v>X1</v>
      </c>
      <c r="G14" s="11">
        <v>15</v>
      </c>
    </row>
    <row r="15" spans="2:12" ht="13" x14ac:dyDescent="0.3">
      <c r="B15" s="18">
        <v>0</v>
      </c>
      <c r="C15" s="2">
        <v>3</v>
      </c>
      <c r="D15" s="16" t="str">
        <f t="shared" si="2"/>
        <v>D3</v>
      </c>
      <c r="E15" s="2">
        <v>5</v>
      </c>
      <c r="F15" s="16" t="str">
        <f t="shared" si="0"/>
        <v>X2</v>
      </c>
      <c r="G15" s="11">
        <v>11</v>
      </c>
    </row>
    <row r="16" spans="2:12" ht="13" x14ac:dyDescent="0.3">
      <c r="B16" s="23">
        <v>80</v>
      </c>
      <c r="C16" s="2">
        <v>3</v>
      </c>
      <c r="D16" s="16" t="str">
        <f t="shared" si="2"/>
        <v>D3</v>
      </c>
      <c r="E16" s="2">
        <v>6</v>
      </c>
      <c r="F16" s="16" t="str">
        <f t="shared" si="0"/>
        <v>X3</v>
      </c>
      <c r="G16" s="11">
        <v>7</v>
      </c>
    </row>
    <row r="17" spans="2:7" ht="13.5" thickBot="1" x14ac:dyDescent="0.35">
      <c r="B17" s="23">
        <v>99.999999999526338</v>
      </c>
      <c r="C17" s="3">
        <v>3</v>
      </c>
      <c r="D17" s="17" t="str">
        <f t="shared" si="2"/>
        <v>D3</v>
      </c>
      <c r="E17" s="3">
        <v>7</v>
      </c>
      <c r="F17" s="17" t="str">
        <f t="shared" si="0"/>
        <v>X4</v>
      </c>
      <c r="G17" s="12">
        <v>8</v>
      </c>
    </row>
    <row r="18" spans="2:7" ht="13.5" thickBot="1" x14ac:dyDescent="0.35">
      <c r="B18" s="24"/>
      <c r="C18" s="10"/>
      <c r="D18" s="6"/>
      <c r="E18" s="10"/>
      <c r="F18" s="6"/>
      <c r="G18" s="7"/>
    </row>
    <row r="19" spans="2:7" ht="14" thickTop="1" thickBot="1" x14ac:dyDescent="0.35">
      <c r="B19" s="1"/>
      <c r="F19" s="8" t="s">
        <v>7</v>
      </c>
      <c r="G19" s="19">
        <f>SUMPRODUCT(B6:B17,G6:G17)</f>
        <v>4539.9999997145142</v>
      </c>
    </row>
    <row r="20" spans="2:7" ht="13" thickTop="1" x14ac:dyDescent="0.25">
      <c r="B20" s="1"/>
    </row>
  </sheetData>
  <scenarios current="0" sqref="K6 K7 K8 K9 K10 K11 K12 G18">
    <scenario name="test" count="11" user="staff" comment="Created by staff on 4/3/2009">
      <inputCells r="B6" val="160"/>
      <inputCells r="B7" val="20"/>
      <inputCells r="B8" val="60"/>
      <inputCells r="B9" val="0"/>
      <inputCells r="B10" val="0"/>
      <inputCells r="B11" val="0"/>
      <inputCells r="B12" val="0"/>
      <inputCells r="B13" val="0"/>
      <inputCells r="B14" val="60"/>
      <inputCells r="B15" val="170"/>
      <inputCells r="B17" val="70"/>
    </scenario>
  </scenarios>
  <phoneticPr fontId="0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7"/>
  <sheetViews>
    <sheetView workbookViewId="0">
      <selection activeCell="H19" sqref="H19"/>
    </sheetView>
  </sheetViews>
  <sheetFormatPr defaultRowHeight="12.5" x14ac:dyDescent="0.25"/>
  <sheetData>
    <row r="1" spans="1:7" ht="15.5" x14ac:dyDescent="0.35">
      <c r="A1" t="s">
        <v>22</v>
      </c>
      <c r="B1" s="27" t="s">
        <v>23</v>
      </c>
      <c r="C1" s="27"/>
      <c r="D1" s="27"/>
      <c r="E1" s="27"/>
      <c r="F1" s="27"/>
    </row>
    <row r="2" spans="1:7" ht="15.5" x14ac:dyDescent="0.35">
      <c r="A2" s="28"/>
    </row>
    <row r="3" spans="1:7" x14ac:dyDescent="0.25">
      <c r="A3" s="29" t="s">
        <v>24</v>
      </c>
      <c r="B3" s="78" t="s">
        <v>25</v>
      </c>
      <c r="C3" s="79"/>
      <c r="D3" s="79"/>
      <c r="E3" s="80"/>
    </row>
    <row r="4" spans="1:7" x14ac:dyDescent="0.25">
      <c r="A4" s="32" t="s">
        <v>26</v>
      </c>
      <c r="B4" s="33" t="s">
        <v>18</v>
      </c>
      <c r="C4" s="34" t="s">
        <v>19</v>
      </c>
      <c r="D4" s="34" t="s">
        <v>20</v>
      </c>
      <c r="E4" s="35" t="s">
        <v>21</v>
      </c>
      <c r="F4" s="1" t="s">
        <v>27</v>
      </c>
    </row>
    <row r="5" spans="1:7" x14ac:dyDescent="0.25">
      <c r="A5" s="36" t="s">
        <v>15</v>
      </c>
      <c r="B5" s="36">
        <v>2</v>
      </c>
      <c r="C5" s="10">
        <v>6</v>
      </c>
      <c r="D5" s="10">
        <v>9</v>
      </c>
      <c r="E5" s="37">
        <v>4</v>
      </c>
      <c r="F5" s="1">
        <v>200</v>
      </c>
    </row>
    <row r="6" spans="1:7" x14ac:dyDescent="0.25">
      <c r="A6" s="36" t="s">
        <v>16</v>
      </c>
      <c r="B6" s="36">
        <v>7</v>
      </c>
      <c r="C6" s="10">
        <v>1</v>
      </c>
      <c r="D6" s="10">
        <v>10</v>
      </c>
      <c r="E6" s="37">
        <v>12</v>
      </c>
      <c r="F6" s="1">
        <v>300</v>
      </c>
    </row>
    <row r="7" spans="1:7" x14ac:dyDescent="0.25">
      <c r="A7" s="36" t="s">
        <v>17</v>
      </c>
      <c r="B7" s="36">
        <v>5</v>
      </c>
      <c r="C7" s="10">
        <v>11</v>
      </c>
      <c r="D7" s="10">
        <v>3</v>
      </c>
      <c r="E7" s="37">
        <v>8</v>
      </c>
      <c r="F7" s="1">
        <v>400</v>
      </c>
    </row>
    <row r="8" spans="1:7" x14ac:dyDescent="0.25">
      <c r="A8" s="38" t="s">
        <v>28</v>
      </c>
      <c r="B8" s="32">
        <v>0</v>
      </c>
      <c r="C8" s="39">
        <v>0</v>
      </c>
      <c r="D8" s="39">
        <v>0</v>
      </c>
      <c r="E8" s="40">
        <v>0</v>
      </c>
      <c r="F8" s="1">
        <v>100</v>
      </c>
    </row>
    <row r="9" spans="1:7" x14ac:dyDescent="0.25">
      <c r="A9" t="s">
        <v>29</v>
      </c>
      <c r="B9" s="1">
        <v>100</v>
      </c>
      <c r="C9" s="1">
        <v>200</v>
      </c>
      <c r="D9" s="1">
        <v>300</v>
      </c>
      <c r="E9" s="1">
        <v>400</v>
      </c>
      <c r="G9" t="s">
        <v>30</v>
      </c>
    </row>
    <row r="10" spans="1:7" x14ac:dyDescent="0.25">
      <c r="C10" t="s">
        <v>31</v>
      </c>
      <c r="G10" s="41">
        <f>SUMPRODUCT(B5:E8,B13:E16)</f>
        <v>3400</v>
      </c>
    </row>
    <row r="11" spans="1:7" x14ac:dyDescent="0.25">
      <c r="A11" s="29" t="s">
        <v>24</v>
      </c>
      <c r="B11" s="81" t="str">
        <f>B3</f>
        <v>Shipping cost to Warehouse</v>
      </c>
      <c r="C11" s="82"/>
      <c r="D11" s="82"/>
      <c r="E11" s="83"/>
    </row>
    <row r="12" spans="1:7" x14ac:dyDescent="0.25">
      <c r="A12" s="38" t="s">
        <v>26</v>
      </c>
      <c r="B12" s="33" t="str">
        <f>B4</f>
        <v>C1</v>
      </c>
      <c r="C12" s="34" t="str">
        <f>C4</f>
        <v>C2</v>
      </c>
      <c r="D12" s="34" t="str">
        <f>D4</f>
        <v>C3</v>
      </c>
      <c r="E12" s="35" t="str">
        <f>E4</f>
        <v>C4</v>
      </c>
      <c r="F12" s="1" t="s">
        <v>32</v>
      </c>
    </row>
    <row r="13" spans="1:7" x14ac:dyDescent="0.25">
      <c r="A13" s="36" t="str">
        <f>A5</f>
        <v>P1</v>
      </c>
      <c r="B13" s="36">
        <v>0</v>
      </c>
      <c r="C13" s="10">
        <v>0</v>
      </c>
      <c r="D13" s="10">
        <v>0</v>
      </c>
      <c r="E13" s="37">
        <v>200</v>
      </c>
      <c r="F13" s="1">
        <f>SUM(B13:E13)</f>
        <v>200</v>
      </c>
    </row>
    <row r="14" spans="1:7" x14ac:dyDescent="0.25">
      <c r="A14" s="36" t="str">
        <f>A6</f>
        <v>P2</v>
      </c>
      <c r="B14" s="36">
        <v>100</v>
      </c>
      <c r="C14" s="10">
        <v>200</v>
      </c>
      <c r="D14" s="10">
        <v>0</v>
      </c>
      <c r="E14" s="37">
        <v>0</v>
      </c>
      <c r="F14" s="1">
        <f>SUM(B14:E14)</f>
        <v>300</v>
      </c>
    </row>
    <row r="15" spans="1:7" x14ac:dyDescent="0.25">
      <c r="A15" s="36" t="str">
        <f>A7</f>
        <v>P3</v>
      </c>
      <c r="B15" s="36">
        <v>0</v>
      </c>
      <c r="C15" s="10">
        <v>0</v>
      </c>
      <c r="D15" s="10">
        <v>300</v>
      </c>
      <c r="E15" s="37">
        <v>100</v>
      </c>
      <c r="F15" s="1">
        <f>SUM(B15:E15)</f>
        <v>400</v>
      </c>
    </row>
    <row r="16" spans="1:7" x14ac:dyDescent="0.25">
      <c r="A16" s="38" t="str">
        <f>A8</f>
        <v>Dummy</v>
      </c>
      <c r="B16" s="32">
        <v>0</v>
      </c>
      <c r="C16" s="39">
        <v>0</v>
      </c>
      <c r="D16" s="39">
        <v>0</v>
      </c>
      <c r="E16" s="40">
        <v>100</v>
      </c>
      <c r="F16" s="1">
        <f>SUM(B16:E16)</f>
        <v>100</v>
      </c>
    </row>
    <row r="17" spans="1:5" x14ac:dyDescent="0.25">
      <c r="A17" t="s">
        <v>32</v>
      </c>
      <c r="B17" s="1">
        <f>SUM(B13:B16)</f>
        <v>100</v>
      </c>
      <c r="C17" s="1">
        <f>SUM(C13:C16)</f>
        <v>200</v>
      </c>
      <c r="D17" s="1">
        <f>SUM(D13:D16)</f>
        <v>300</v>
      </c>
      <c r="E17" s="1">
        <f>SUM(E13:E16)</f>
        <v>400</v>
      </c>
    </row>
  </sheetData>
  <mergeCells count="2">
    <mergeCell ref="B3:E3"/>
    <mergeCell ref="B11:E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L20"/>
  <sheetViews>
    <sheetView workbookViewId="0">
      <selection activeCell="P12" sqref="P12"/>
    </sheetView>
  </sheetViews>
  <sheetFormatPr defaultRowHeight="12.5" x14ac:dyDescent="0.25"/>
  <cols>
    <col min="1" max="1" width="5.453125" customWidth="1"/>
    <col min="2" max="2" width="5.08984375" customWidth="1"/>
    <col min="3" max="3" width="2.54296875" style="1" customWidth="1"/>
    <col min="4" max="4" width="12.08984375" customWidth="1"/>
    <col min="5" max="5" width="3.08984375" style="1" customWidth="1"/>
    <col min="6" max="6" width="10.08984375" customWidth="1"/>
    <col min="7" max="7" width="9" style="1" customWidth="1"/>
    <col min="8" max="8" width="7" customWidth="1"/>
    <col min="9" max="9" width="3.36328125" style="1" customWidth="1"/>
    <col min="10" max="10" width="12.08984375" customWidth="1"/>
    <col min="11" max="11" width="9" customWidth="1"/>
    <col min="12" max="12" width="15.453125" style="1" customWidth="1"/>
  </cols>
  <sheetData>
    <row r="2" spans="2:12" x14ac:dyDescent="0.25">
      <c r="G2" s="22"/>
    </row>
    <row r="4" spans="2:12" ht="13" x14ac:dyDescent="0.3">
      <c r="B4" s="1"/>
      <c r="G4" s="2"/>
    </row>
    <row r="5" spans="2:12" ht="13.5" thickBot="1" x14ac:dyDescent="0.35">
      <c r="B5" s="3" t="s">
        <v>0</v>
      </c>
      <c r="C5" s="5" t="s">
        <v>1</v>
      </c>
      <c r="D5" s="5"/>
      <c r="E5" s="5" t="s">
        <v>2</v>
      </c>
      <c r="F5" s="4"/>
      <c r="G5" s="3" t="s">
        <v>3</v>
      </c>
      <c r="I5" s="5" t="s">
        <v>4</v>
      </c>
      <c r="J5" s="9"/>
      <c r="K5" s="3" t="s">
        <v>5</v>
      </c>
      <c r="L5" s="3" t="s">
        <v>6</v>
      </c>
    </row>
    <row r="6" spans="2:12" ht="13" x14ac:dyDescent="0.3">
      <c r="B6" s="18">
        <v>0</v>
      </c>
      <c r="C6" s="2">
        <v>1</v>
      </c>
      <c r="D6" s="16" t="str">
        <f>VLOOKUP(C6,$I$6:$J$12,2)</f>
        <v>P1</v>
      </c>
      <c r="E6" s="2">
        <v>4</v>
      </c>
      <c r="F6" s="16" t="str">
        <f t="shared" ref="F6:F17" si="0">VLOOKUP(E6,$I$6:$J$12,2)</f>
        <v>C1</v>
      </c>
      <c r="G6" s="11">
        <v>2</v>
      </c>
      <c r="I6" s="2">
        <v>1</v>
      </c>
      <c r="J6" s="25" t="s">
        <v>15</v>
      </c>
      <c r="K6" s="20">
        <f t="shared" ref="K6:K12" si="1">SUMIF($E$6:$E$17,I6,$B$6:$B$17)-SUMIF($C$6:$C$17,I6,$B$6:$B$17)</f>
        <v>-199.99999993673342</v>
      </c>
      <c r="L6" s="2">
        <v>-200</v>
      </c>
    </row>
    <row r="7" spans="2:12" ht="13" x14ac:dyDescent="0.3">
      <c r="B7" s="18">
        <v>0</v>
      </c>
      <c r="C7" s="2">
        <v>1</v>
      </c>
      <c r="D7" s="16" t="str">
        <f t="shared" ref="D7:D17" si="2">VLOOKUP(C7,$I$6:$J$12,2)</f>
        <v>P1</v>
      </c>
      <c r="E7" s="2">
        <v>5</v>
      </c>
      <c r="F7" s="16" t="str">
        <f t="shared" si="0"/>
        <v>C2</v>
      </c>
      <c r="G7" s="11">
        <v>6</v>
      </c>
      <c r="I7" s="2">
        <v>2</v>
      </c>
      <c r="J7" s="25" t="s">
        <v>16</v>
      </c>
      <c r="K7" s="20">
        <f t="shared" si="1"/>
        <v>-299.99999993651727</v>
      </c>
      <c r="L7" s="2">
        <v>-300</v>
      </c>
    </row>
    <row r="8" spans="2:12" ht="13" x14ac:dyDescent="0.3">
      <c r="B8" s="18">
        <v>0</v>
      </c>
      <c r="C8" s="2">
        <v>1</v>
      </c>
      <c r="D8" s="16" t="str">
        <f t="shared" si="2"/>
        <v>P1</v>
      </c>
      <c r="E8" s="2">
        <v>6</v>
      </c>
      <c r="F8" s="16" t="str">
        <f t="shared" si="0"/>
        <v>C3</v>
      </c>
      <c r="G8" s="11">
        <v>9</v>
      </c>
      <c r="I8" s="2">
        <v>3</v>
      </c>
      <c r="J8" s="25" t="s">
        <v>17</v>
      </c>
      <c r="K8" s="20">
        <f t="shared" si="1"/>
        <v>-400.00000000032543</v>
      </c>
      <c r="L8" s="2">
        <v>-400</v>
      </c>
    </row>
    <row r="9" spans="2:12" ht="13" x14ac:dyDescent="0.3">
      <c r="B9" s="18">
        <v>199.99999993673342</v>
      </c>
      <c r="C9" s="2">
        <v>1</v>
      </c>
      <c r="D9" s="16" t="str">
        <f t="shared" si="2"/>
        <v>P1</v>
      </c>
      <c r="E9" s="2">
        <v>7</v>
      </c>
      <c r="F9" s="16" t="str">
        <f t="shared" si="0"/>
        <v>C4</v>
      </c>
      <c r="G9" s="11">
        <v>4</v>
      </c>
      <c r="I9" s="2">
        <v>4</v>
      </c>
      <c r="J9" s="25" t="s">
        <v>18</v>
      </c>
      <c r="K9" s="20">
        <f t="shared" si="1"/>
        <v>100.00000000011673</v>
      </c>
      <c r="L9" s="2">
        <v>100</v>
      </c>
    </row>
    <row r="10" spans="2:12" ht="13" x14ac:dyDescent="0.3">
      <c r="B10" s="18">
        <v>100.00000000008778</v>
      </c>
      <c r="C10" s="2">
        <v>2</v>
      </c>
      <c r="D10" s="16" t="str">
        <f t="shared" si="2"/>
        <v>P2</v>
      </c>
      <c r="E10" s="2">
        <v>4</v>
      </c>
      <c r="F10" s="16" t="str">
        <f t="shared" si="0"/>
        <v>C1</v>
      </c>
      <c r="G10" s="11">
        <v>7</v>
      </c>
      <c r="I10" s="2">
        <v>5</v>
      </c>
      <c r="J10" s="25" t="s">
        <v>19</v>
      </c>
      <c r="K10" s="20">
        <f t="shared" si="1"/>
        <v>199.9999999364295</v>
      </c>
      <c r="L10" s="2">
        <v>200</v>
      </c>
    </row>
    <row r="11" spans="2:12" ht="13" x14ac:dyDescent="0.3">
      <c r="B11" s="18">
        <v>199.9999999364295</v>
      </c>
      <c r="C11" s="2">
        <v>2</v>
      </c>
      <c r="D11" s="16" t="str">
        <f t="shared" si="2"/>
        <v>P2</v>
      </c>
      <c r="E11" s="2">
        <v>5</v>
      </c>
      <c r="F11" s="16" t="str">
        <f t="shared" si="0"/>
        <v>C2</v>
      </c>
      <c r="G11" s="11">
        <v>1</v>
      </c>
      <c r="I11" s="2">
        <v>6</v>
      </c>
      <c r="J11" s="25" t="s">
        <v>20</v>
      </c>
      <c r="K11" s="20">
        <f t="shared" si="1"/>
        <v>300.00000000012187</v>
      </c>
      <c r="L11" s="2">
        <v>300</v>
      </c>
    </row>
    <row r="12" spans="2:12" ht="13.5" thickBot="1" x14ac:dyDescent="0.35">
      <c r="B12" s="18">
        <v>0</v>
      </c>
      <c r="C12" s="2">
        <v>2</v>
      </c>
      <c r="D12" s="16" t="str">
        <f t="shared" si="2"/>
        <v>P2</v>
      </c>
      <c r="E12" s="2">
        <v>6</v>
      </c>
      <c r="F12" s="16" t="str">
        <f t="shared" si="0"/>
        <v>C3</v>
      </c>
      <c r="G12" s="11">
        <v>10</v>
      </c>
      <c r="I12" s="3">
        <v>7</v>
      </c>
      <c r="J12" s="26" t="s">
        <v>21</v>
      </c>
      <c r="K12" s="21">
        <f t="shared" si="1"/>
        <v>299.99999993690807</v>
      </c>
      <c r="L12" s="3">
        <v>400</v>
      </c>
    </row>
    <row r="13" spans="2:12" ht="13" x14ac:dyDescent="0.3">
      <c r="B13" s="18">
        <v>0</v>
      </c>
      <c r="C13" s="2">
        <v>2</v>
      </c>
      <c r="D13" s="16" t="str">
        <f t="shared" si="2"/>
        <v>P2</v>
      </c>
      <c r="E13" s="2">
        <v>7</v>
      </c>
      <c r="F13" s="16" t="str">
        <f t="shared" si="0"/>
        <v>C4</v>
      </c>
      <c r="G13" s="11">
        <v>12</v>
      </c>
      <c r="I13" s="13"/>
      <c r="J13" s="14"/>
      <c r="K13" s="15"/>
      <c r="L13" s="13"/>
    </row>
    <row r="14" spans="2:12" ht="13" x14ac:dyDescent="0.3">
      <c r="B14" s="18">
        <v>2.8954616482224083E-11</v>
      </c>
      <c r="C14" s="2">
        <v>3</v>
      </c>
      <c r="D14" s="16" t="str">
        <f t="shared" si="2"/>
        <v>P3</v>
      </c>
      <c r="E14" s="2">
        <v>4</v>
      </c>
      <c r="F14" s="16" t="str">
        <f t="shared" si="0"/>
        <v>C1</v>
      </c>
      <c r="G14" s="11">
        <v>5</v>
      </c>
    </row>
    <row r="15" spans="2:12" ht="13" x14ac:dyDescent="0.3">
      <c r="B15" s="18">
        <v>0</v>
      </c>
      <c r="C15" s="2">
        <v>3</v>
      </c>
      <c r="D15" s="16" t="str">
        <f t="shared" si="2"/>
        <v>P3</v>
      </c>
      <c r="E15" s="2">
        <v>5</v>
      </c>
      <c r="F15" s="16" t="str">
        <f t="shared" si="0"/>
        <v>C2</v>
      </c>
      <c r="G15" s="11">
        <v>11</v>
      </c>
    </row>
    <row r="16" spans="2:12" ht="13" x14ac:dyDescent="0.3">
      <c r="B16" s="23">
        <v>300.00000000012187</v>
      </c>
      <c r="C16" s="2">
        <v>3</v>
      </c>
      <c r="D16" s="16" t="str">
        <f t="shared" si="2"/>
        <v>P3</v>
      </c>
      <c r="E16" s="2">
        <v>6</v>
      </c>
      <c r="F16" s="16" t="str">
        <f t="shared" si="0"/>
        <v>C3</v>
      </c>
      <c r="G16" s="11">
        <v>3</v>
      </c>
    </row>
    <row r="17" spans="2:7" ht="13.5" thickBot="1" x14ac:dyDescent="0.35">
      <c r="B17" s="23">
        <v>100.00000000017464</v>
      </c>
      <c r="C17" s="3">
        <v>3</v>
      </c>
      <c r="D17" s="17" t="str">
        <f t="shared" si="2"/>
        <v>P3</v>
      </c>
      <c r="E17" s="3">
        <v>7</v>
      </c>
      <c r="F17" s="17" t="str">
        <f t="shared" si="0"/>
        <v>C4</v>
      </c>
      <c r="G17" s="12">
        <v>8</v>
      </c>
    </row>
    <row r="18" spans="2:7" ht="13.5" thickBot="1" x14ac:dyDescent="0.35">
      <c r="B18" s="24"/>
      <c r="C18" s="10"/>
      <c r="D18" s="6"/>
      <c r="E18" s="10"/>
      <c r="F18" s="6"/>
      <c r="G18" s="7"/>
    </row>
    <row r="19" spans="2:7" ht="14" thickTop="1" thickBot="1" x14ac:dyDescent="0.35">
      <c r="B19" s="1"/>
      <c r="F19" s="8" t="s">
        <v>7</v>
      </c>
      <c r="G19" s="19">
        <f>SUMPRODUCT(B6:B17,G6:G17)</f>
        <v>3399.9999996858851</v>
      </c>
    </row>
    <row r="20" spans="2:7" ht="13" thickTop="1" x14ac:dyDescent="0.25">
      <c r="B20" s="1"/>
    </row>
  </sheetData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4"/>
  <sheetViews>
    <sheetView topLeftCell="A3" zoomScale="85" zoomScaleNormal="85" workbookViewId="0">
      <selection activeCell="C17" sqref="C17"/>
    </sheetView>
  </sheetViews>
  <sheetFormatPr defaultRowHeight="12.5" x14ac:dyDescent="0.25"/>
  <cols>
    <col min="2" max="4" width="9.6328125" customWidth="1"/>
  </cols>
  <sheetData>
    <row r="1" spans="1:14" ht="14" x14ac:dyDescent="0.3">
      <c r="A1" s="84" t="s">
        <v>34</v>
      </c>
      <c r="B1" s="85"/>
      <c r="C1" s="85"/>
      <c r="D1" s="86"/>
      <c r="E1" s="52"/>
      <c r="F1" s="84" t="s">
        <v>35</v>
      </c>
      <c r="G1" s="85"/>
      <c r="H1" s="85"/>
      <c r="I1" s="85"/>
      <c r="J1" s="85"/>
      <c r="K1" s="85"/>
      <c r="L1" s="85"/>
      <c r="M1" s="85"/>
    </row>
    <row r="2" spans="1:14" ht="14" x14ac:dyDescent="0.3">
      <c r="A2" s="53" t="s">
        <v>36</v>
      </c>
      <c r="B2" s="53" t="s">
        <v>49</v>
      </c>
      <c r="C2" s="53" t="s">
        <v>48</v>
      </c>
      <c r="D2" s="53" t="s">
        <v>50</v>
      </c>
      <c r="E2" s="52"/>
      <c r="F2" s="54">
        <v>1</v>
      </c>
      <c r="G2" s="54">
        <v>2</v>
      </c>
      <c r="H2" s="54">
        <v>3</v>
      </c>
      <c r="I2" s="54">
        <v>4</v>
      </c>
      <c r="J2" s="54">
        <v>5</v>
      </c>
      <c r="K2" s="54">
        <v>6</v>
      </c>
      <c r="L2" s="54">
        <v>7</v>
      </c>
      <c r="M2" s="54">
        <v>8</v>
      </c>
    </row>
    <row r="3" spans="1:14" ht="14" x14ac:dyDescent="0.3">
      <c r="A3" s="53" t="s">
        <v>40</v>
      </c>
      <c r="B3" s="53">
        <v>8</v>
      </c>
      <c r="C3" s="53">
        <v>3</v>
      </c>
      <c r="D3" s="53">
        <v>4</v>
      </c>
      <c r="E3" s="52"/>
      <c r="F3" s="55">
        <v>0</v>
      </c>
      <c r="G3" s="55">
        <v>0</v>
      </c>
      <c r="H3" s="55">
        <v>5</v>
      </c>
      <c r="I3" s="55">
        <v>1</v>
      </c>
      <c r="J3" s="55">
        <v>0</v>
      </c>
      <c r="K3" s="55">
        <v>0</v>
      </c>
      <c r="L3" s="55">
        <v>0</v>
      </c>
      <c r="M3" s="56">
        <v>10</v>
      </c>
    </row>
    <row r="4" spans="1:14" ht="14" x14ac:dyDescent="0.3">
      <c r="A4" s="53" t="s">
        <v>41</v>
      </c>
      <c r="B4" s="53">
        <v>6</v>
      </c>
      <c r="C4" s="53">
        <v>1</v>
      </c>
      <c r="D4" s="53">
        <v>5</v>
      </c>
      <c r="E4" s="52"/>
      <c r="F4" s="55">
        <v>5</v>
      </c>
      <c r="G4" s="55">
        <v>0</v>
      </c>
      <c r="H4" s="55">
        <v>0</v>
      </c>
      <c r="I4" s="55">
        <v>0</v>
      </c>
      <c r="J4" s="55">
        <v>1</v>
      </c>
      <c r="K4" s="55">
        <v>10</v>
      </c>
      <c r="L4" s="56">
        <v>0</v>
      </c>
      <c r="M4" s="55">
        <v>0</v>
      </c>
    </row>
    <row r="5" spans="1:14" ht="14" x14ac:dyDescent="0.3">
      <c r="A5" s="53" t="s">
        <v>42</v>
      </c>
      <c r="B5" s="53">
        <v>4</v>
      </c>
      <c r="C5" s="53">
        <v>3</v>
      </c>
      <c r="D5" s="53">
        <v>2</v>
      </c>
      <c r="E5" s="52"/>
      <c r="F5" s="55">
        <v>0</v>
      </c>
      <c r="G5" s="55">
        <v>1</v>
      </c>
      <c r="H5" s="55">
        <v>5</v>
      </c>
      <c r="I5" s="56">
        <v>10</v>
      </c>
      <c r="J5" s="55">
        <v>0</v>
      </c>
      <c r="K5" s="55">
        <v>0</v>
      </c>
      <c r="L5" s="55">
        <v>0</v>
      </c>
      <c r="M5" s="55">
        <v>0</v>
      </c>
    </row>
    <row r="6" spans="1:14" ht="14" x14ac:dyDescent="0.3">
      <c r="A6" s="53" t="s">
        <v>43</v>
      </c>
      <c r="B6" s="53">
        <v>1</v>
      </c>
      <c r="C6" s="53">
        <v>5</v>
      </c>
      <c r="D6" s="53">
        <v>3</v>
      </c>
      <c r="E6" s="52"/>
      <c r="F6" s="56">
        <v>10</v>
      </c>
      <c r="G6" s="55">
        <v>0</v>
      </c>
      <c r="H6" s="55">
        <v>1</v>
      </c>
      <c r="I6" s="55">
        <v>0</v>
      </c>
      <c r="J6" s="55">
        <v>5</v>
      </c>
      <c r="K6" s="55">
        <v>0</v>
      </c>
      <c r="L6" s="55">
        <v>0</v>
      </c>
      <c r="M6" s="55">
        <v>0</v>
      </c>
    </row>
    <row r="7" spans="1:14" ht="14" x14ac:dyDescent="0.3">
      <c r="A7" s="53" t="s">
        <v>44</v>
      </c>
      <c r="B7" s="53">
        <v>3</v>
      </c>
      <c r="C7" s="53">
        <v>7</v>
      </c>
      <c r="D7" s="53">
        <v>2</v>
      </c>
      <c r="E7" s="52"/>
      <c r="F7" s="55">
        <v>0</v>
      </c>
      <c r="G7" s="55">
        <v>1</v>
      </c>
      <c r="H7" s="56">
        <v>10</v>
      </c>
      <c r="I7" s="55">
        <v>0</v>
      </c>
      <c r="J7" s="55">
        <v>0</v>
      </c>
      <c r="K7" s="55">
        <v>0</v>
      </c>
      <c r="L7" s="55">
        <v>5</v>
      </c>
      <c r="M7" s="55">
        <v>0</v>
      </c>
    </row>
    <row r="8" spans="1:14" ht="14" x14ac:dyDescent="0.3">
      <c r="A8" s="53" t="s">
        <v>45</v>
      </c>
      <c r="B8" s="53">
        <v>8</v>
      </c>
      <c r="C8" s="53">
        <v>3</v>
      </c>
      <c r="D8" s="53">
        <v>2</v>
      </c>
      <c r="E8" s="52"/>
      <c r="F8" s="55">
        <v>0</v>
      </c>
      <c r="G8" s="55">
        <v>1</v>
      </c>
      <c r="H8" s="55">
        <v>5</v>
      </c>
      <c r="I8" s="55">
        <v>0</v>
      </c>
      <c r="J8" s="56">
        <v>0</v>
      </c>
      <c r="K8" s="55">
        <v>0</v>
      </c>
      <c r="L8" s="55">
        <v>0</v>
      </c>
      <c r="M8" s="55">
        <v>10</v>
      </c>
    </row>
    <row r="9" spans="1:14" ht="14" x14ac:dyDescent="0.3">
      <c r="A9" s="53" t="s">
        <v>46</v>
      </c>
      <c r="B9" s="53">
        <v>6</v>
      </c>
      <c r="C9" s="53">
        <v>8</v>
      </c>
      <c r="D9" s="53">
        <v>1</v>
      </c>
      <c r="E9" s="52"/>
      <c r="F9" s="55">
        <v>1</v>
      </c>
      <c r="G9" s="55">
        <v>0</v>
      </c>
      <c r="H9" s="55">
        <v>0</v>
      </c>
      <c r="I9" s="55">
        <v>0</v>
      </c>
      <c r="J9" s="55">
        <v>0</v>
      </c>
      <c r="K9" s="56">
        <v>10</v>
      </c>
      <c r="L9" s="55">
        <v>0</v>
      </c>
      <c r="M9" s="55">
        <v>5</v>
      </c>
    </row>
    <row r="10" spans="1:14" ht="14" x14ac:dyDescent="0.3">
      <c r="A10" s="53" t="s">
        <v>47</v>
      </c>
      <c r="B10" s="53">
        <v>4</v>
      </c>
      <c r="C10" s="53">
        <v>2</v>
      </c>
      <c r="D10" s="53">
        <v>7</v>
      </c>
      <c r="E10" s="52"/>
      <c r="F10" s="55">
        <v>0</v>
      </c>
      <c r="G10" s="56">
        <v>5</v>
      </c>
      <c r="H10" s="55">
        <v>0</v>
      </c>
      <c r="I10" s="55">
        <v>10</v>
      </c>
      <c r="J10" s="55">
        <v>0</v>
      </c>
      <c r="K10" s="55">
        <v>0</v>
      </c>
      <c r="L10" s="55">
        <v>1</v>
      </c>
      <c r="M10" s="55">
        <v>0</v>
      </c>
    </row>
    <row r="12" spans="1:14" x14ac:dyDescent="0.25">
      <c r="N12" t="s">
        <v>37</v>
      </c>
    </row>
    <row r="13" spans="1:14" ht="14" x14ac:dyDescent="0.3">
      <c r="F13" s="54">
        <v>1</v>
      </c>
      <c r="G13" s="54">
        <v>2</v>
      </c>
      <c r="H13" s="54">
        <v>3</v>
      </c>
      <c r="I13" s="54">
        <v>4</v>
      </c>
      <c r="J13" s="54">
        <v>5</v>
      </c>
      <c r="K13" s="54">
        <v>6</v>
      </c>
      <c r="L13" s="54">
        <v>7</v>
      </c>
      <c r="M13" s="54">
        <v>8</v>
      </c>
    </row>
    <row r="14" spans="1:14" ht="14" x14ac:dyDescent="0.3"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1.000000000565453</v>
      </c>
      <c r="N14">
        <f t="shared" ref="N14:N22" si="0">SUM(F14:M14)</f>
        <v>1.000000000565453</v>
      </c>
    </row>
    <row r="15" spans="1:14" ht="14" x14ac:dyDescent="0.3">
      <c r="F15" s="57">
        <v>-3.8810957755134594E-10</v>
      </c>
      <c r="G15" s="57">
        <v>0</v>
      </c>
      <c r="H15" s="57">
        <v>0</v>
      </c>
      <c r="I15" s="57">
        <v>0</v>
      </c>
      <c r="J15" s="57">
        <v>9.5356345042318935E-10</v>
      </c>
      <c r="K15" s="57">
        <v>0</v>
      </c>
      <c r="L15" s="57">
        <v>1</v>
      </c>
      <c r="M15" s="57">
        <v>-5.6545345175443055E-10</v>
      </c>
      <c r="N15">
        <f t="shared" si="0"/>
        <v>1.0000000000000004</v>
      </c>
    </row>
    <row r="16" spans="1:14" ht="14" x14ac:dyDescent="0.3">
      <c r="F16" s="57">
        <v>0</v>
      </c>
      <c r="G16" s="57">
        <v>0</v>
      </c>
      <c r="H16" s="57">
        <v>5.6545346224328038E-10</v>
      </c>
      <c r="I16" s="57">
        <v>0.99999999943454643</v>
      </c>
      <c r="J16" s="57">
        <v>0</v>
      </c>
      <c r="K16" s="57">
        <v>0</v>
      </c>
      <c r="L16" s="57">
        <v>0</v>
      </c>
      <c r="M16" s="57">
        <v>0</v>
      </c>
      <c r="N16">
        <f t="shared" si="0"/>
        <v>0.99999999999999989</v>
      </c>
    </row>
    <row r="17" spans="5:14" ht="14" x14ac:dyDescent="0.3">
      <c r="F17" s="57">
        <v>1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>
        <f t="shared" si="0"/>
        <v>1</v>
      </c>
    </row>
    <row r="18" spans="5:14" ht="14" x14ac:dyDescent="0.3">
      <c r="F18" s="57">
        <v>0</v>
      </c>
      <c r="G18" s="57">
        <v>0</v>
      </c>
      <c r="H18" s="57">
        <v>0.99999999943454643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>
        <f t="shared" si="0"/>
        <v>0.99999999943454643</v>
      </c>
    </row>
    <row r="19" spans="5:14" ht="14" x14ac:dyDescent="0.3">
      <c r="F19" s="57">
        <v>0</v>
      </c>
      <c r="G19" s="57">
        <v>5.6545357285386899E-10</v>
      </c>
      <c r="H19" s="57">
        <v>0</v>
      </c>
      <c r="I19" s="57">
        <v>0</v>
      </c>
      <c r="J19" s="57">
        <v>0.99999999904643677</v>
      </c>
      <c r="K19" s="57">
        <v>1.4329000486146271E-10</v>
      </c>
      <c r="L19" s="57">
        <v>0</v>
      </c>
      <c r="M19" s="57">
        <v>0</v>
      </c>
      <c r="N19">
        <f t="shared" si="0"/>
        <v>0.99999999975518039</v>
      </c>
    </row>
    <row r="20" spans="5:14" ht="14" x14ac:dyDescent="0.3"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0.99999999985670995</v>
      </c>
      <c r="L20" s="57">
        <v>0</v>
      </c>
      <c r="M20" s="57">
        <v>0</v>
      </c>
      <c r="N20">
        <f t="shared" si="0"/>
        <v>0.99999999985670995</v>
      </c>
    </row>
    <row r="21" spans="5:14" ht="14" x14ac:dyDescent="0.3">
      <c r="F21" s="57">
        <v>0</v>
      </c>
      <c r="G21" s="57">
        <v>0.99999999943454676</v>
      </c>
      <c r="H21" s="57">
        <v>0</v>
      </c>
      <c r="I21" s="57">
        <v>5.6545346224328038E-10</v>
      </c>
      <c r="J21" s="57">
        <v>0</v>
      </c>
      <c r="K21" s="57">
        <v>0</v>
      </c>
      <c r="L21" s="57">
        <v>0</v>
      </c>
      <c r="M21" s="57">
        <v>0</v>
      </c>
      <c r="N21">
        <f t="shared" si="0"/>
        <v>1.0000000000000002</v>
      </c>
    </row>
    <row r="22" spans="5:14" x14ac:dyDescent="0.25">
      <c r="E22" t="s">
        <v>38</v>
      </c>
      <c r="F22">
        <f t="shared" ref="F22:M22" si="1">SUM(F14:F21)</f>
        <v>0.99999999961189046</v>
      </c>
      <c r="G22">
        <f t="shared" si="1"/>
        <v>1.0000000000000004</v>
      </c>
      <c r="H22">
        <f t="shared" si="1"/>
        <v>0.99999999999999989</v>
      </c>
      <c r="I22">
        <f t="shared" si="1"/>
        <v>0.99999999999999989</v>
      </c>
      <c r="J22">
        <f t="shared" si="1"/>
        <v>1.0000000000000002</v>
      </c>
      <c r="K22">
        <f t="shared" si="1"/>
        <v>1</v>
      </c>
      <c r="L22">
        <f t="shared" si="1"/>
        <v>1</v>
      </c>
      <c r="M22">
        <f t="shared" si="1"/>
        <v>0.99999999999999956</v>
      </c>
      <c r="N22">
        <f t="shared" si="0"/>
        <v>7.9999999996118909</v>
      </c>
    </row>
    <row r="24" spans="5:14" x14ac:dyDescent="0.25">
      <c r="E24" t="s">
        <v>39</v>
      </c>
      <c r="F24">
        <f>SUMPRODUCT(F3:M10,F14:M21)</f>
        <v>54.999999998145569</v>
      </c>
    </row>
  </sheetData>
  <mergeCells count="2">
    <mergeCell ref="A1:D1"/>
    <mergeCell ref="F1:M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25"/>
  <sheetViews>
    <sheetView tabSelected="1" workbookViewId="0">
      <selection activeCell="L12" sqref="J12:L20"/>
    </sheetView>
  </sheetViews>
  <sheetFormatPr defaultColWidth="5.6328125" defaultRowHeight="13" x14ac:dyDescent="0.3"/>
  <cols>
    <col min="1" max="1" width="8" style="16" customWidth="1"/>
    <col min="2" max="3" width="5.6328125" style="16" customWidth="1"/>
    <col min="4" max="4" width="14.08984375" style="16" customWidth="1"/>
    <col min="5" max="5" width="5.6328125" style="16"/>
    <col min="6" max="6" width="5.90625" style="2" customWidth="1"/>
    <col min="7" max="7" width="10.36328125" style="2" customWidth="1"/>
    <col min="8" max="8" width="19.36328125" style="2" customWidth="1"/>
    <col min="9" max="9" width="6" style="16" customWidth="1"/>
    <col min="10" max="11" width="8.6328125" style="16" customWidth="1"/>
    <col min="12" max="16384" width="5.6328125" style="16"/>
  </cols>
  <sheetData>
    <row r="1" spans="1:11" x14ac:dyDescent="0.3">
      <c r="B1" s="58"/>
      <c r="C1" s="59"/>
      <c r="D1" s="59"/>
    </row>
    <row r="2" spans="1:11" x14ac:dyDescent="0.3">
      <c r="A2" s="60"/>
      <c r="I2" s="61"/>
      <c r="J2" s="61"/>
      <c r="K2" s="61"/>
    </row>
    <row r="3" spans="1:11" x14ac:dyDescent="0.3">
      <c r="B3" s="58" t="s">
        <v>51</v>
      </c>
      <c r="C3" s="58"/>
      <c r="D3" s="62"/>
      <c r="I3" s="63"/>
      <c r="J3" s="63"/>
      <c r="K3" s="63"/>
    </row>
    <row r="4" spans="1:11" ht="13.5" thickBot="1" x14ac:dyDescent="0.35">
      <c r="A4" s="64" t="s">
        <v>52</v>
      </c>
      <c r="B4" s="65" t="s">
        <v>53</v>
      </c>
      <c r="C4" s="64" t="s">
        <v>54</v>
      </c>
      <c r="D4" s="64" t="s">
        <v>55</v>
      </c>
      <c r="F4" s="3" t="s">
        <v>56</v>
      </c>
      <c r="G4" s="3" t="s">
        <v>5</v>
      </c>
      <c r="H4" s="3" t="s">
        <v>57</v>
      </c>
    </row>
    <row r="5" spans="1:11" x14ac:dyDescent="0.3">
      <c r="A5" s="66">
        <v>20</v>
      </c>
      <c r="B5" s="67">
        <v>1</v>
      </c>
      <c r="C5" s="67">
        <v>3</v>
      </c>
      <c r="D5" s="68">
        <v>20</v>
      </c>
      <c r="F5" s="2">
        <v>1</v>
      </c>
      <c r="G5" s="69">
        <f t="shared" ref="G5:G10" si="0">SUMIF($C$5:$C$13,F5,$A$5:$A$13)-SUMIF($B$5:$B$13,F5,$A$5:$A$13)</f>
        <v>-20</v>
      </c>
      <c r="H5" s="67">
        <v>-30</v>
      </c>
      <c r="I5" s="63"/>
      <c r="J5" s="63"/>
      <c r="K5" s="63"/>
    </row>
    <row r="6" spans="1:11" x14ac:dyDescent="0.3">
      <c r="A6" s="66">
        <v>0</v>
      </c>
      <c r="B6" s="67">
        <v>1</v>
      </c>
      <c r="C6" s="67">
        <v>4</v>
      </c>
      <c r="D6" s="68">
        <v>30</v>
      </c>
      <c r="F6" s="2">
        <v>2</v>
      </c>
      <c r="G6" s="69">
        <f t="shared" si="0"/>
        <v>-40</v>
      </c>
      <c r="H6" s="67">
        <v>-40</v>
      </c>
      <c r="I6" s="63"/>
      <c r="J6" s="63"/>
      <c r="K6" s="63"/>
    </row>
    <row r="7" spans="1:11" x14ac:dyDescent="0.3">
      <c r="A7" s="66">
        <v>10</v>
      </c>
      <c r="B7" s="67">
        <v>2</v>
      </c>
      <c r="C7" s="67">
        <v>4</v>
      </c>
      <c r="D7" s="68">
        <v>10</v>
      </c>
      <c r="F7" s="2">
        <v>3</v>
      </c>
      <c r="G7" s="69">
        <f t="shared" si="0"/>
        <v>-20</v>
      </c>
      <c r="H7" s="67">
        <v>-20</v>
      </c>
      <c r="I7" s="63"/>
      <c r="J7" s="63"/>
      <c r="K7" s="63"/>
    </row>
    <row r="8" spans="1:11" x14ac:dyDescent="0.3">
      <c r="A8" s="66">
        <v>30</v>
      </c>
      <c r="B8" s="67">
        <v>2</v>
      </c>
      <c r="C8" s="67">
        <v>5</v>
      </c>
      <c r="D8" s="68">
        <v>20</v>
      </c>
      <c r="F8" s="2">
        <v>4</v>
      </c>
      <c r="G8" s="69">
        <f t="shared" si="0"/>
        <v>10</v>
      </c>
      <c r="H8" s="67">
        <v>10</v>
      </c>
      <c r="I8" s="63"/>
      <c r="J8" s="63"/>
      <c r="K8" s="63"/>
    </row>
    <row r="9" spans="1:11" x14ac:dyDescent="0.3">
      <c r="A9" s="66">
        <v>0</v>
      </c>
      <c r="B9" s="67">
        <v>3</v>
      </c>
      <c r="C9" s="67">
        <v>4</v>
      </c>
      <c r="D9" s="68">
        <v>20</v>
      </c>
      <c r="F9" s="2">
        <v>5</v>
      </c>
      <c r="G9" s="69">
        <f t="shared" si="0"/>
        <v>30</v>
      </c>
      <c r="H9" s="67">
        <v>30</v>
      </c>
      <c r="I9" s="63"/>
      <c r="J9" s="63"/>
      <c r="K9" s="63"/>
    </row>
    <row r="10" spans="1:11" ht="13.5" thickBot="1" x14ac:dyDescent="0.35">
      <c r="A10" s="66">
        <v>40</v>
      </c>
      <c r="B10" s="67">
        <v>3</v>
      </c>
      <c r="C10" s="67">
        <v>6</v>
      </c>
      <c r="D10" s="68">
        <v>40</v>
      </c>
      <c r="F10" s="3">
        <v>6</v>
      </c>
      <c r="G10" s="70">
        <f t="shared" si="0"/>
        <v>40</v>
      </c>
      <c r="H10" s="64">
        <v>40</v>
      </c>
      <c r="I10" s="63"/>
      <c r="J10" s="63"/>
      <c r="K10" s="63"/>
    </row>
    <row r="11" spans="1:11" x14ac:dyDescent="0.3">
      <c r="A11" s="66">
        <v>0</v>
      </c>
      <c r="B11" s="67">
        <v>4</v>
      </c>
      <c r="C11" s="67">
        <v>6</v>
      </c>
      <c r="D11" s="68">
        <v>30</v>
      </c>
      <c r="I11" s="63"/>
      <c r="J11" s="63"/>
      <c r="K11" s="63"/>
    </row>
    <row r="12" spans="1:11" x14ac:dyDescent="0.3">
      <c r="A12" s="66">
        <v>0</v>
      </c>
      <c r="B12" s="67">
        <v>5</v>
      </c>
      <c r="C12" s="67">
        <v>4</v>
      </c>
      <c r="D12" s="68">
        <v>50</v>
      </c>
      <c r="I12" s="63"/>
      <c r="J12" s="63"/>
      <c r="K12" s="63"/>
    </row>
    <row r="13" spans="1:11" ht="13.5" thickBot="1" x14ac:dyDescent="0.35">
      <c r="A13">
        <v>0</v>
      </c>
      <c r="B13" s="64">
        <v>5</v>
      </c>
      <c r="C13" s="64">
        <v>6</v>
      </c>
      <c r="D13" s="71">
        <v>30</v>
      </c>
      <c r="I13" s="63"/>
      <c r="J13" s="63"/>
      <c r="K13" s="63"/>
    </row>
    <row r="14" spans="1:11" ht="14" thickTop="1" thickBot="1" x14ac:dyDescent="0.35">
      <c r="C14" s="8" t="s">
        <v>39</v>
      </c>
      <c r="D14" s="72">
        <f>SUMPRODUCT(D5:D13,$A$5:$A$13)</f>
        <v>2700</v>
      </c>
      <c r="I14" s="63"/>
      <c r="J14" s="63"/>
      <c r="K14" s="63"/>
    </row>
    <row r="15" spans="1:11" ht="13.5" thickTop="1" x14ac:dyDescent="0.3">
      <c r="C15" s="73"/>
      <c r="D15" s="74"/>
      <c r="I15" s="63"/>
      <c r="J15" s="63"/>
      <c r="K15" s="63"/>
    </row>
    <row r="16" spans="1:11" x14ac:dyDescent="0.3">
      <c r="I16" s="63"/>
      <c r="J16" s="63"/>
      <c r="K16" s="63"/>
    </row>
    <row r="17" spans="2:11" x14ac:dyDescent="0.3">
      <c r="I17" s="61"/>
      <c r="J17" s="75"/>
      <c r="K17" s="61"/>
    </row>
    <row r="20" spans="2:11" x14ac:dyDescent="0.3">
      <c r="B20" s="76" t="s">
        <v>58</v>
      </c>
      <c r="C20" s="76" t="s">
        <v>59</v>
      </c>
    </row>
    <row r="21" spans="2:11" x14ac:dyDescent="0.3">
      <c r="B21"/>
      <c r="C21" s="76" t="s">
        <v>60</v>
      </c>
    </row>
    <row r="22" spans="2:11" x14ac:dyDescent="0.3">
      <c r="B22"/>
      <c r="C22" s="76" t="s">
        <v>61</v>
      </c>
    </row>
    <row r="23" spans="2:11" x14ac:dyDescent="0.3">
      <c r="B23"/>
      <c r="C23" s="77"/>
    </row>
    <row r="24" spans="2:11" x14ac:dyDescent="0.3">
      <c r="B24" s="76" t="s">
        <v>62</v>
      </c>
      <c r="C24" s="76" t="s">
        <v>63</v>
      </c>
    </row>
    <row r="25" spans="2:11" x14ac:dyDescent="0.3">
      <c r="B25"/>
      <c r="C25" s="76" t="s">
        <v>64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Ex1 - MethodI</vt:lpstr>
      <vt:lpstr>Ex1 - MethodII</vt:lpstr>
      <vt:lpstr>Ex2 - MethodI</vt:lpstr>
      <vt:lpstr>Ex2 - MethodII</vt:lpstr>
      <vt:lpstr>Ex3 - Job Assignment</vt:lpstr>
      <vt:lpstr>Extra Ex</vt:lpstr>
    </vt:vector>
  </TitlesOfParts>
  <Company>Virginia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Tutorial 5</dc:title>
  <dc:subject>BIM</dc:subject>
  <dc:creator>Mary Lim</dc:creator>
  <cp:lastModifiedBy>Jason Siu</cp:lastModifiedBy>
  <dcterms:created xsi:type="dcterms:W3CDTF">1996-12-10T22:33:21Z</dcterms:created>
  <dcterms:modified xsi:type="dcterms:W3CDTF">2022-10-04T05:59:18Z</dcterms:modified>
</cp:coreProperties>
</file>