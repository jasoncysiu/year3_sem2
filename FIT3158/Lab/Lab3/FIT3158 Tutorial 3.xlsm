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Lab\Lab3\"/>
    </mc:Choice>
  </mc:AlternateContent>
  <xr:revisionPtr revIDLastSave="0" documentId="13_ncr:1_{93A178FD-33C7-4A6A-BBB9-B385D82A08D4}" xr6:coauthVersionLast="47" xr6:coauthVersionMax="47" xr10:uidLastSave="{00000000-0000-0000-0000-000000000000}"/>
  <bookViews>
    <workbookView xWindow="-110" yWindow="-110" windowWidth="19420" windowHeight="11020" firstSheet="7" activeTab="7" xr2:uid="{00000000-000D-0000-FFFF-FFFF00000000}"/>
  </bookViews>
  <sheets>
    <sheet name="SMDA" sheetId="1" state="veryHidden" r:id=""/>
    <sheet name="Answer Report 1" sheetId="7" r:id="rId1"/>
    <sheet name="Sensitivity Report 1" sheetId="8" r:id="rId2"/>
    <sheet name="ElectroTech" sheetId="3" r:id="rId3"/>
    <sheet name="Answer Report 2" sheetId="11" r:id="rId4"/>
    <sheet name="Sensitivity Report 2" sheetId="12" r:id="rId5"/>
    <sheet name="Sanderson" sheetId="6" r:id="rId6"/>
    <sheet name="Answer Report 4" sheetId="15" r:id="rId7"/>
    <sheet name="Sensitivity Report 4" sheetId="16" r:id="rId8"/>
    <sheet name="ElectroPoly" sheetId="5" r:id="rId9"/>
  </sheets>
  <externalReferences>
    <externalReference r:id="rId10"/>
    <externalReference r:id="rId11"/>
  </externalReferences>
  <definedNames>
    <definedName name="solver_adj" localSheetId="9" hidden="1">ElectroPoly!$B$6:$D$7</definedName>
    <definedName name="solver_adj" localSheetId="3" hidden="1">ElectroTech!$C$4:$D$4</definedName>
    <definedName name="solver_adj" localSheetId="6" hidden="1">Sanderson!$C$5:$D$5</definedName>
    <definedName name="solver_cvg" localSheetId="9" hidden="1">0.0001</definedName>
    <definedName name="solver_cvg" localSheetId="3" hidden="1">0.0001</definedName>
    <definedName name="solver_cvg" localSheetId="6" hidden="1">0.0001</definedName>
    <definedName name="solver_drv" localSheetId="9" hidden="1">1</definedName>
    <definedName name="solver_drv" localSheetId="3" hidden="1">1</definedName>
    <definedName name="solver_drv" localSheetId="6" hidden="1">1</definedName>
    <definedName name="solver_eng" localSheetId="9" hidden="1">2</definedName>
    <definedName name="solver_eng" localSheetId="3" hidden="1">2</definedName>
    <definedName name="solver_eng" localSheetId="6" hidden="1">2</definedName>
    <definedName name="solver_est" localSheetId="9" hidden="1">1</definedName>
    <definedName name="solver_est" localSheetId="3" hidden="1">1</definedName>
    <definedName name="solver_est" localSheetId="6" hidden="1">1</definedName>
    <definedName name="solver_ibd" localSheetId="3" hidden="1">2</definedName>
    <definedName name="solver_itr" localSheetId="9" hidden="1">100</definedName>
    <definedName name="solver_itr" localSheetId="3" hidden="1">1000</definedName>
    <definedName name="solver_itr" localSheetId="6" hidden="1">100</definedName>
    <definedName name="solver_lhs1" localSheetId="9" hidden="1">ElectroPoly!$B$13:$D$13</definedName>
    <definedName name="solver_lhs1" localSheetId="3" hidden="1">ElectroTech!$C$4:$D$4</definedName>
    <definedName name="solver_lhs1" localSheetId="6" hidden="1">Sanderson!$C$5:$D$5</definedName>
    <definedName name="solver_lhs2" localSheetId="9" hidden="1">ElectroPoly!$B$6:$D$7</definedName>
    <definedName name="solver_lhs2" localSheetId="3" hidden="1">ElectroTech!$E$8:$E$9</definedName>
    <definedName name="solver_lhs2" localSheetId="6" hidden="1">Sanderson!$E$9:$E$11</definedName>
    <definedName name="solver_lhs3" localSheetId="9" hidden="1">ElectroPoly!$E$17:$E$18</definedName>
    <definedName name="solver_lin" localSheetId="9" hidden="1">2</definedName>
    <definedName name="solver_lin" localSheetId="3" hidden="1">1</definedName>
    <definedName name="solver_lin" localSheetId="6" hidden="1">2</definedName>
    <definedName name="solver_lva" localSheetId="3" hidden="1">2</definedName>
    <definedName name="solver_mip" localSheetId="9" hidden="1">2147483647</definedName>
    <definedName name="solver_mip" localSheetId="3" hidden="1">1000</definedName>
    <definedName name="solver_mip" localSheetId="6" hidden="1">2147483647</definedName>
    <definedName name="solver_mni" localSheetId="9" hidden="1">30</definedName>
    <definedName name="solver_mni" localSheetId="3" hidden="1">30</definedName>
    <definedName name="solver_mni" localSheetId="6" hidden="1">30</definedName>
    <definedName name="solver_mrt" localSheetId="9" hidden="1">0.075</definedName>
    <definedName name="solver_mrt" localSheetId="3" hidden="1">0.075</definedName>
    <definedName name="solver_mrt" localSheetId="6" hidden="1">0.075</definedName>
    <definedName name="solver_msl" localSheetId="9" hidden="1">2</definedName>
    <definedName name="solver_msl" localSheetId="3" hidden="1">2</definedName>
    <definedName name="solver_msl" localSheetId="6" hidden="1">2</definedName>
    <definedName name="solver_neg" localSheetId="9" hidden="1">1</definedName>
    <definedName name="solver_neg" localSheetId="3" hidden="1">1</definedName>
    <definedName name="solver_neg" localSheetId="6" hidden="1">1</definedName>
    <definedName name="solver_nod" localSheetId="9" hidden="1">2147483647</definedName>
    <definedName name="solver_nod" localSheetId="3" hidden="1">1000</definedName>
    <definedName name="solver_nod" localSheetId="6" hidden="1">2147483647</definedName>
    <definedName name="solver_num" localSheetId="9" hidden="1">3</definedName>
    <definedName name="solver_num" localSheetId="3" hidden="1">2</definedName>
    <definedName name="solver_num" localSheetId="6" hidden="1">2</definedName>
    <definedName name="solver_nwt" localSheetId="9" hidden="1">1</definedName>
    <definedName name="solver_nwt" localSheetId="3" hidden="1">1</definedName>
    <definedName name="solver_nwt" localSheetId="6" hidden="1">1</definedName>
    <definedName name="solver_ofx" localSheetId="3" hidden="1">2</definedName>
    <definedName name="solver_opt" localSheetId="9" hidden="1">ElectroPoly!$E$11</definedName>
    <definedName name="solver_opt" localSheetId="3" hidden="1">ElectroTech!$F$4</definedName>
    <definedName name="solver_opt" localSheetId="6" hidden="1">Sanderson!$E$6</definedName>
    <definedName name="solver_piv" localSheetId="3" hidden="1">0.000001</definedName>
    <definedName name="solver_pre" localSheetId="9" hidden="1">0.000001</definedName>
    <definedName name="solver_pre" localSheetId="3" hidden="1">0.00000001</definedName>
    <definedName name="solver_pre" localSheetId="6" hidden="1">0.000001</definedName>
    <definedName name="solver_pro" localSheetId="3" hidden="1">2</definedName>
    <definedName name="solver_rbv" localSheetId="9" hidden="1">1</definedName>
    <definedName name="solver_rbv" localSheetId="3" hidden="1">1</definedName>
    <definedName name="solver_rbv" localSheetId="6" hidden="1">1</definedName>
    <definedName name="solver_red" localSheetId="3" hidden="1">0.000001</definedName>
    <definedName name="solver_rel1" localSheetId="9" hidden="1">3</definedName>
    <definedName name="solver_rel1" localSheetId="3" hidden="1">3</definedName>
    <definedName name="solver_rel1" localSheetId="6" hidden="1">3</definedName>
    <definedName name="solver_rel2" localSheetId="9" hidden="1">3</definedName>
    <definedName name="solver_rel2" localSheetId="3" hidden="1">1</definedName>
    <definedName name="solver_rel2" localSheetId="6" hidden="1">1</definedName>
    <definedName name="solver_rel3" localSheetId="9" hidden="1">1</definedName>
    <definedName name="solver_reo" localSheetId="3" hidden="1">2</definedName>
    <definedName name="solver_rep" localSheetId="3" hidden="1">2</definedName>
    <definedName name="solver_rhs1" localSheetId="9" hidden="1">ElectroPoly!$B$14:$D$14</definedName>
    <definedName name="solver_rhs1" localSheetId="3" hidden="1">0</definedName>
    <definedName name="solver_rhs1" localSheetId="6" hidden="1">0</definedName>
    <definedName name="solver_rhs2" localSheetId="9" hidden="1">0</definedName>
    <definedName name="solver_rhs2" localSheetId="3" hidden="1">ElectroTech!$F$8:$F$9</definedName>
    <definedName name="solver_rhs2" localSheetId="6" hidden="1">Sanderson!$F$9:$F$11</definedName>
    <definedName name="solver_rhs3" localSheetId="9" hidden="1">ElectroPoly!$F$17:$F$18</definedName>
    <definedName name="solver_rlx" localSheetId="9" hidden="1">1</definedName>
    <definedName name="solver_rlx" localSheetId="3" hidden="1">2</definedName>
    <definedName name="solver_rlx" localSheetId="6" hidden="1">1</definedName>
    <definedName name="solver_rsd" localSheetId="9" hidden="1">0</definedName>
    <definedName name="solver_rsd" localSheetId="3" hidden="1">0</definedName>
    <definedName name="solver_rsd" localSheetId="6" hidden="1">0</definedName>
    <definedName name="solver_scl" localSheetId="9" hidden="1">2</definedName>
    <definedName name="solver_scl" localSheetId="3" hidden="1">2</definedName>
    <definedName name="solver_scl" localSheetId="6" hidden="1">2</definedName>
    <definedName name="solver_sho" localSheetId="9" hidden="1">2</definedName>
    <definedName name="solver_sho" localSheetId="3" hidden="1">2</definedName>
    <definedName name="solver_sho" localSheetId="6" hidden="1">2</definedName>
    <definedName name="solver_ssz" localSheetId="9" hidden="1">100</definedName>
    <definedName name="solver_ssz" localSheetId="3" hidden="1">100</definedName>
    <definedName name="solver_ssz" localSheetId="6" hidden="1">100</definedName>
    <definedName name="solver_std" localSheetId="9" hidden="1">1</definedName>
    <definedName name="solver_std" localSheetId="3" hidden="1">0</definedName>
    <definedName name="solver_std" localSheetId="6" hidden="1">1</definedName>
    <definedName name="solver_tim" localSheetId="9" hidden="1">100</definedName>
    <definedName name="solver_tim" localSheetId="3" hidden="1">100</definedName>
    <definedName name="solver_tim" localSheetId="6" hidden="1">100</definedName>
    <definedName name="solver_tmp" localSheetId="3" hidden="1">ElectroTech!$F$8:$F$9</definedName>
    <definedName name="solver_tol" localSheetId="9" hidden="1">0.0005</definedName>
    <definedName name="solver_tol" localSheetId="3" hidden="1">0.05</definedName>
    <definedName name="solver_tol" localSheetId="6" hidden="1">0.0005</definedName>
    <definedName name="solver_typ" localSheetId="9" hidden="1">2</definedName>
    <definedName name="solver_typ" localSheetId="3" hidden="1">1</definedName>
    <definedName name="solver_typ" localSheetId="6" hidden="1">1</definedName>
    <definedName name="solver_val" localSheetId="9" hidden="1">0</definedName>
    <definedName name="solver_val" localSheetId="3" hidden="1">0</definedName>
    <definedName name="solver_val" localSheetId="6" hidden="1">0</definedName>
    <definedName name="solver_ver" localSheetId="9" hidden="1">3</definedName>
    <definedName name="solver_ver" localSheetId="3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8" i="5" l="1"/>
  <c r="E17" i="5"/>
  <c r="D13" i="5"/>
  <c r="C13" i="5"/>
  <c r="B13" i="5"/>
  <c r="E11" i="5"/>
  <c r="E11" i="6"/>
  <c r="E10" i="6"/>
  <c r="E9" i="6"/>
  <c r="E6" i="6"/>
  <c r="E9" i="3"/>
  <c r="E8" i="3"/>
  <c r="F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C4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4" authorId="0" shapeId="0" xr:uid="{00000000-0006-0000-01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4" authorId="0" shapeId="0" xr:uid="{00000000-0006-0000-0100-000003000000}">
      <text>
        <r>
          <rPr>
            <sz val="8"/>
            <color indexed="81"/>
            <rFont val="Tahoma"/>
            <family val="2"/>
          </rPr>
          <t>Set cell</t>
        </r>
      </text>
    </comment>
    <comment ref="E8" authorId="0" shapeId="0" xr:uid="{00000000-0006-0000-01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9" authorId="0" shapeId="0" xr:uid="{00000000-0006-0000-0100-000005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C5" authorId="0" shapeId="0" xr:uid="{00000000-0006-0000-02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 xr:uid="{00000000-0006-0000-02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6" authorId="0" shapeId="0" xr:uid="{00000000-0006-0000-0200-000003000000}">
      <text>
        <r>
          <rPr>
            <sz val="8"/>
            <color indexed="81"/>
            <rFont val="Tahoma"/>
            <family val="2"/>
          </rPr>
          <t>Set cell</t>
        </r>
      </text>
    </comment>
    <comment ref="E9" authorId="0" shapeId="0" xr:uid="{00000000-0006-0000-02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 xr:uid="{00000000-0006-0000-0200-000005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1" authorId="0" shapeId="0" xr:uid="{00000000-0006-0000-0200-000006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6" authorId="0" shapeId="0" xr:uid="{00000000-0006-0000-03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 xr:uid="{00000000-0006-0000-03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 xr:uid="{00000000-0006-0000-03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 xr:uid="{00000000-0006-0000-03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 xr:uid="{00000000-0006-0000-03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 xr:uid="{00000000-0006-0000-03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 xr:uid="{00000000-0006-0000-0300-000007000000}">
      <text>
        <r>
          <rPr>
            <sz val="8"/>
            <color indexed="81"/>
            <rFont val="Tahoma"/>
            <family val="2"/>
          </rPr>
          <t>Set cell</t>
        </r>
      </text>
    </comment>
    <comment ref="B13" authorId="0" shapeId="0" xr:uid="{00000000-0006-0000-03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3" authorId="0" shapeId="0" xr:uid="{00000000-0006-0000-0300-000009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 xr:uid="{00000000-0006-0000-03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7" authorId="0" shapeId="0" xr:uid="{00000000-0006-0000-0300-00000B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8" authorId="0" shapeId="0" xr:uid="{00000000-0006-0000-0300-00000C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<sst xmlns="http://schemas.openxmlformats.org/spreadsheetml/2006/main" count="368" uniqueCount="146">
  <si>
    <t>Generators</t>
  </si>
  <si>
    <t>Alternators</t>
  </si>
  <si>
    <t>Total Profit</t>
  </si>
  <si>
    <t>Number to produce</t>
  </si>
  <si>
    <t>Profit per Unit</t>
  </si>
  <si>
    <t>Used</t>
  </si>
  <si>
    <t>Available</t>
  </si>
  <si>
    <t>Wiring</t>
  </si>
  <si>
    <t>Testing</t>
  </si>
  <si>
    <t>Doors</t>
  </si>
  <si>
    <t>Windows</t>
  </si>
  <si>
    <t>Qty</t>
  </si>
  <si>
    <t>Profit</t>
  </si>
  <si>
    <t>Cutting</t>
  </si>
  <si>
    <t>Sanding</t>
  </si>
  <si>
    <t>Finishing</t>
  </si>
  <si>
    <t xml:space="preserve"> ------- Slip Ring -------</t>
  </si>
  <si>
    <t>Number to</t>
  </si>
  <si>
    <t>Model 1</t>
  </si>
  <si>
    <t>Model 2</t>
  </si>
  <si>
    <t>Model 3</t>
  </si>
  <si>
    <t xml:space="preserve">  - Make    </t>
  </si>
  <si>
    <t xml:space="preserve">  - Buy</t>
  </si>
  <si>
    <t>Cost to</t>
  </si>
  <si>
    <t>Total Cost</t>
  </si>
  <si>
    <t># Available</t>
  </si>
  <si>
    <t># Needed</t>
  </si>
  <si>
    <t>Hours Required</t>
  </si>
  <si>
    <t xml:space="preserve"> Used</t>
  </si>
  <si>
    <t xml:space="preserve">  - Wiring</t>
  </si>
  <si>
    <t xml:space="preserve">  - Harnessing</t>
  </si>
  <si>
    <t>Microsoft Excel 16.0 Answer Report</t>
  </si>
  <si>
    <t>Worksheet: [FIT3158 Tutorial 3.xlsm]ElectroTech</t>
  </si>
  <si>
    <t>Report Created: 8/18/2022 4:27:34 PM</t>
  </si>
  <si>
    <t>Result: Solver found a solution.  All Constraints and optimality conditions are satisfied.</t>
  </si>
  <si>
    <t>Solver Engine</t>
  </si>
  <si>
    <t>Engine: Simplex LP</t>
  </si>
  <si>
    <t>Solution Time: 0.047 Seconds.</t>
  </si>
  <si>
    <t>Iterations: 1 Subproblems: 0</t>
  </si>
  <si>
    <t>Solver Options</t>
  </si>
  <si>
    <t>Max Time 100 sec,  Iterations 1000, Precision 0.00000001</t>
  </si>
  <si>
    <t>Max Subproblems 1000, Max Integer Sols 1000, Integer Tolerance 5%, Assume NonNegative</t>
  </si>
  <si>
    <t>Objective Cell (Max)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</si>
  <si>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</si>
  <si>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</si>
  <si>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</si>
  <si>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</si>
  <si>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</si>
  <si>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</si>
  <si>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</si>
  <si>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</si>
  <si>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</si>
  <si>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</si>
  <si>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</si>
  <si>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$F$4</t>
  </si>
  <si>
    <t>Number to produce Total Profit</t>
  </si>
  <si>
    <t>$C$4</t>
  </si>
  <si>
    <t>Number to produce Generators</t>
  </si>
  <si>
    <t>Contin</t>
  </si>
  <si>
    <t>$D$4</t>
  </si>
  <si>
    <t>Number to produce Alternators</t>
  </si>
  <si>
    <t>$E$8</t>
  </si>
  <si>
    <t>Wiring Used</t>
  </si>
  <si>
    <t>$E$8&lt;=$F$8</t>
  </si>
  <si>
    <t>Binding</t>
  </si>
  <si>
    <t>$E$9</t>
  </si>
  <si>
    <t>Testing Used</t>
  </si>
  <si>
    <t>$E$9&lt;=$F$9</t>
  </si>
  <si>
    <t>Not Binding</t>
  </si>
  <si>
    <t>$C$4&gt;=0</t>
  </si>
  <si>
    <t>$D$4&gt;=0</t>
  </si>
  <si>
    <t>Microsoft Excel 16.0 Sensitivity Report</t>
  </si>
  <si>
    <t>Report Created: 8/18/2022 4:27:54 PM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</si>
  <si>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</si>
  <si>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</si>
  <si>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</si>
  <si>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</si>
  <si>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</si>
  <si>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</si>
  <si>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</si>
  <si>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</si>
  <si>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</si>
  <si>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Shadow</t>
  </si>
  <si>
    <t>Price</t>
  </si>
  <si>
    <t>Constraint</t>
  </si>
  <si>
    <t>R.H. Side</t>
  </si>
  <si>
    <t>Worksheet: [FIT3158 Tutorial 3.xlsm]Sanderson</t>
  </si>
  <si>
    <t>Solution Time: 0.031 Seconds.</t>
  </si>
  <si>
    <t>Iterations: 2 Subproblems: 0</t>
  </si>
  <si>
    <t>Max Time 100 sec,  Iterations 100, Precision 0.000001</t>
  </si>
  <si>
    <t>Max Subproblems Unlimited, Max Integer Sols Unlimited, Integer Tolerance 0.05%, Solve Without Integer Constraints, Assume NonNegative</t>
  </si>
  <si>
    <t>$E$6</t>
  </si>
  <si>
    <t>$C$5</t>
  </si>
  <si>
    <t>Qty Doors</t>
  </si>
  <si>
    <t>$D$5</t>
  </si>
  <si>
    <t>Qty Windows</t>
  </si>
  <si>
    <t>Cutting Used</t>
  </si>
  <si>
    <t>$E$10</t>
  </si>
  <si>
    <t>Sanding Used</t>
  </si>
  <si>
    <t>$E$10&lt;=$F$10</t>
  </si>
  <si>
    <t>$E$11</t>
  </si>
  <si>
    <t>Finishing Used</t>
  </si>
  <si>
    <t>$E$11&lt;=$F$11</t>
  </si>
  <si>
    <t>$C$5&gt;=0</t>
  </si>
  <si>
    <t>$D$5&gt;=0</t>
  </si>
  <si>
    <t>Report Created: 8/18/2022 5:03:46 PM</t>
  </si>
  <si>
    <t>Worksheet: [FIT3158 Tutorial 3.xlsm]ElectroPoly</t>
  </si>
  <si>
    <t>Iterations: 4 Subproblems: 0</t>
  </si>
  <si>
    <t>Objective Cell (Min)</t>
  </si>
  <si>
    <t xml:space="preserve">  - Buy Total Cost</t>
  </si>
  <si>
    <t>$B$6</t>
  </si>
  <si>
    <t xml:space="preserve">  - Make     Model 1</t>
  </si>
  <si>
    <t>$C$6</t>
  </si>
  <si>
    <t xml:space="preserve">  - Make     Model 2</t>
  </si>
  <si>
    <t>$D$6</t>
  </si>
  <si>
    <t xml:space="preserve">  - Make     Model 3</t>
  </si>
  <si>
    <t>$B$7</t>
  </si>
  <si>
    <t xml:space="preserve">  - Buy Model 1</t>
  </si>
  <si>
    <t>$C$7</t>
  </si>
  <si>
    <t xml:space="preserve">  - Buy Model 2</t>
  </si>
  <si>
    <t>$D$7</t>
  </si>
  <si>
    <t xml:space="preserve">  - Buy Model 3</t>
  </si>
  <si>
    <t>$B$13</t>
  </si>
  <si>
    <t># Available Model 1</t>
  </si>
  <si>
    <t>$B$13&gt;=$B$14</t>
  </si>
  <si>
    <t>$C$13</t>
  </si>
  <si>
    <t># Available Model 2</t>
  </si>
  <si>
    <t>$C$13&gt;=$C$14</t>
  </si>
  <si>
    <t>$D$13</t>
  </si>
  <si>
    <t># Available Model 3</t>
  </si>
  <si>
    <t>$D$13&gt;=$D$14</t>
  </si>
  <si>
    <t>$E$17</t>
  </si>
  <si>
    <t xml:space="preserve">  - Wiring  Used</t>
  </si>
  <si>
    <t>$E$17&lt;=$F$17</t>
  </si>
  <si>
    <t>$E$18</t>
  </si>
  <si>
    <t xml:space="preserve">  - Harnessing  Used</t>
  </si>
  <si>
    <t>$E$18&lt;=$F$18</t>
  </si>
  <si>
    <t>Report Created: 8/18/2022 5:25:29 PM</t>
  </si>
  <si>
    <t>Solution Time: 0.063 Seconds.</t>
  </si>
  <si>
    <t>$B$6&gt;=0</t>
  </si>
  <si>
    <t>$C$6&gt;=0</t>
  </si>
  <si>
    <t>$D$6&gt;=0</t>
  </si>
  <si>
    <t>$B$7&gt;=0</t>
  </si>
  <si>
    <t>$C$7&gt;=0</t>
  </si>
  <si>
    <t>$D$7&gt;=0</t>
  </si>
  <si>
    <t>Report Created: 8/18/2022 5:25:30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</si>
</sst>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6" formatCode="&quot;$&quot;#,##0_);[Red]\(&quot;$&quot;#,##0\)"/>
    <numFmt numFmtId="164" formatCode="General_)"/>
    <numFmt numFmtId="165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b/>
      <sz val="12"/>
      <color indexed="17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sz val="10"/>
      <color indexed="12"/>
      <name val="Courier"/>
      <family val="3"/>
    </font>
    <font>
      <b/>
      <sz val="10"/>
      <color indexed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6" fontId="1" fillId="0" borderId="0" xfId="0" applyNumberFormat="1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6" fontId="5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165" fontId="7" fillId="0" borderId="0" xfId="0" applyNumberFormat="1" applyFont="1" applyAlignment="1">
      <alignment horizontal="center"/>
    </xf>
    <xf numFmtId="165" fontId="9" fillId="3" borderId="2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164" fontId="12" fillId="0" borderId="0" xfId="0" applyNumberFormat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Continuous"/>
    </xf>
    <xf numFmtId="164" fontId="0" fillId="0" borderId="0" xfId="0" applyNumberFormat="1" applyProtection="1"/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5" fillId="0" borderId="0" xfId="0" applyFont="1" applyFill="1" applyBorder="1" applyAlignment="1">
      <alignment horizontal="center"/>
    </xf>
    <xf numFmtId="37" fontId="4" fillId="2" borderId="1" xfId="0" applyNumberFormat="1" applyFont="1" applyFill="1" applyBorder="1" applyAlignment="1" applyProtection="1">
      <alignment horizontal="center"/>
    </xf>
    <xf numFmtId="0" fontId="11" fillId="0" borderId="0" xfId="0" applyFont="1" applyAlignment="1">
      <alignment horizontal="center"/>
    </xf>
    <xf numFmtId="5" fontId="1" fillId="0" borderId="0" xfId="0" applyNumberFormat="1" applyFont="1" applyAlignment="1" applyProtection="1">
      <alignment horizontal="center"/>
    </xf>
    <xf numFmtId="5" fontId="5" fillId="2" borderId="2" xfId="0" applyNumberFormat="1" applyFont="1" applyFill="1" applyBorder="1" applyAlignment="1" applyProtection="1">
      <alignment horizontal="center"/>
    </xf>
    <xf numFmtId="37" fontId="6" fillId="2" borderId="3" xfId="0" applyNumberFormat="1" applyFont="1" applyFill="1" applyBorder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64" fontId="12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/>
    </xf>
    <xf numFmtId="0" fontId="0" fillId="0" borderId="7" xfId="0" applyFill="1" applyBorder="1" applyAlignment="1"/>
    <xf numFmtId="0" fontId="13" fillId="0" borderId="6" xfId="0" applyFont="1" applyFill="1" applyBorder="1" applyAlignment="1">
      <alignment horizontal="center"/>
    </xf>
    <xf numFmtId="0" fontId="0" fillId="0" borderId="8" xfId="0" applyFill="1" applyBorder="1" applyAlignment="1"/>
    <xf numFmtId="6" fontId="0" fillId="0" borderId="7" xfId="0" applyNumberFormat="1" applyFill="1" applyBorder="1" applyAlignment="1"/>
    <xf numFmtId="0" fontId="0" fillId="0" borderId="8" xfId="0" applyNumberFormat="1" applyFill="1" applyBorder="1" applyAlignment="1"/>
    <xf numFmtId="0" fontId="0" fillId="0" borderId="7" xfId="0" applyNumberFormat="1" applyFill="1" applyBorder="1" applyAlignment="1"/>
    <xf numFmtId="0" fontId="13" fillId="0" borderId="4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165" fontId="0" fillId="0" borderId="7" xfId="0" applyNumberFormat="1" applyFill="1" applyBorder="1" applyAlignment="1"/>
    <xf numFmtId="5" fontId="0" fillId="0" borderId="7" xfId="0" applyNumberFormat="1" applyFill="1" applyBorder="1" applyAlignment="1"/>
    <xf numFmtId="37" fontId="0" fillId="0" borderId="8" xfId="0" applyNumberFormat="1" applyFill="1" applyBorder="1" applyAlignment="1"/>
    <xf numFmtId="37" fontId="0" fillId="0" borderId="7" xfId="0" applyNumberForma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417195</xdr:colOff>
      <xdr:row>0</xdr:row>
      <xdr:rowOff>28575</xdr:rowOff>
    </xdr:from>
    <xdr:to>
      <xdr:col>4</xdr:col>
      <xdr:colOff>443878</xdr:colOff>
      <xdr:row>1</xdr:row>
      <xdr:rowOff>104775</xdr:rowOff>
    </xdr:to>
    <xdr:sp macro="[0]!Toggle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>
          <a:spLocks noChangeArrowheads="1"/>
        </xdr:cNvSpPr>
      </xdr:nvSpPr>
      <xdr:spPr bwMode="auto">
        <a:xfrm>
          <a:off x="1019175" y="28575"/>
          <a:ext cx="2238375" cy="2381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ElectroTech Corporation</a:t>
          </a:r>
        </a:p>
      </xdr:txBody>
    </xdr:sp>
    <xdr:clientData/>
  </xdr:twoCellAnchor>
  <xdr:twoCellAnchor>
    <xdr:from>
      <xdr:col>0</xdr:col>
      <xdr:colOff>419100</xdr:colOff>
      <xdr:row>10</xdr:row>
      <xdr:rowOff>131445</xdr:rowOff>
    </xdr:from>
    <xdr:to>
      <xdr:col>3</xdr:col>
      <xdr:colOff>417188</xdr:colOff>
      <xdr:row>15</xdr:row>
      <xdr:rowOff>38119</xdr:rowOff>
    </xdr:to>
    <xdr:sp macro="" textlink="">
      <xdr:nvSpPr>
        <xdr:cNvPr id="1027" name="Note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 txBox="1">
          <a:spLocks noChangeArrowheads="1"/>
        </xdr:cNvSpPr>
      </xdr:nvSpPr>
      <xdr:spPr bwMode="auto">
        <a:xfrm>
          <a:off x="419100" y="1781175"/>
          <a:ext cx="2028825" cy="7239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F4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C4:D4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E8:E9&lt;=F8:F9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C4:D4&gt;=0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775335</xdr:colOff>
      <xdr:row>0</xdr:row>
      <xdr:rowOff>131445</xdr:rowOff>
    </xdr:from>
    <xdr:to>
      <xdr:col>4</xdr:col>
      <xdr:colOff>350507</xdr:colOff>
      <xdr:row>2</xdr:row>
      <xdr:rowOff>93345</xdr:rowOff>
    </xdr:to>
    <xdr:sp macro="[1]!Toggle" textlink="">
      <xdr:nvSpPr>
        <xdr:cNvPr id="2049" name="Text 7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rrowheads="1"/>
        </xdr:cNvSpPr>
      </xdr:nvSpPr>
      <xdr:spPr bwMode="auto">
        <a:xfrm>
          <a:off x="1362075" y="123825"/>
          <a:ext cx="2228850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Sanderson Manufacturing</a:t>
          </a:r>
        </a:p>
      </xdr:txBody>
    </xdr:sp>
    <xdr:clientData/>
  </xdr:twoCellAnchor>
  <xdr:twoCellAnchor>
    <xdr:from>
      <xdr:col>1</xdr:col>
      <xdr:colOff>605790</xdr:colOff>
      <xdr:row>12</xdr:row>
      <xdr:rowOff>133350</xdr:rowOff>
    </xdr:from>
    <xdr:to>
      <xdr:col>4</xdr:col>
      <xdr:colOff>293370</xdr:colOff>
      <xdr:row>16</xdr:row>
      <xdr:rowOff>66675</xdr:rowOff>
    </xdr:to>
    <xdr:sp macro="" textlink="">
      <xdr:nvSpPr>
        <xdr:cNvPr id="2050" name="Note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ChangeArrowheads="1"/>
        </xdr:cNvSpPr>
      </xdr:nvSpPr>
      <xdr:spPr bwMode="auto">
        <a:xfrm>
          <a:off x="1200150" y="2419350"/>
          <a:ext cx="2333625" cy="581025"/>
        </a:xfrm>
        <a:prstGeom prst="rect">
          <a:avLst/>
        </a:prstGeom>
        <a:solidFill>
          <a:srgbClr val="FFFF00"/>
        </a:solidFill>
        <a:ln w="1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E6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C5:D5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E9:E11&lt;=E9:E11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C5:D5&gt;=0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57150</xdr:rowOff>
    </xdr:from>
    <xdr:to>
      <xdr:col>3</xdr:col>
      <xdr:colOff>596311</xdr:colOff>
      <xdr:row>2</xdr:row>
      <xdr:rowOff>66675</xdr:rowOff>
    </xdr:to>
    <xdr:sp macro="[2]!Toggle" textlink="">
      <xdr:nvSpPr>
        <xdr:cNvPr id="3073" name="Text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SpPr>
          <a:spLocks noChangeArrowheads="1"/>
        </xdr:cNvSpPr>
      </xdr:nvSpPr>
      <xdr:spPr bwMode="auto">
        <a:xfrm>
          <a:off x="1143000" y="57150"/>
          <a:ext cx="1876425" cy="3524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Electro-Poly Corporation</a:t>
          </a:r>
        </a:p>
      </xdr:txBody>
    </xdr:sp>
    <xdr:clientData/>
  </xdr:twoCellAnchor>
  <xdr:twoCellAnchor>
    <xdr:from>
      <xdr:col>1</xdr:col>
      <xdr:colOff>312420</xdr:colOff>
      <xdr:row>20</xdr:row>
      <xdr:rowOff>0</xdr:rowOff>
    </xdr:from>
    <xdr:to>
      <xdr:col>4</xdr:col>
      <xdr:colOff>558171</xdr:colOff>
      <xdr:row>25</xdr:row>
      <xdr:rowOff>19050</xdr:rowOff>
    </xdr:to>
    <xdr:sp macro="" textlink="">
      <xdr:nvSpPr>
        <xdr:cNvPr id="3074" name="Note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 txBox="1">
          <a:spLocks noChangeArrowheads="1"/>
        </xdr:cNvSpPr>
      </xdr:nvSpPr>
      <xdr:spPr bwMode="auto">
        <a:xfrm>
          <a:off x="1314450" y="3295650"/>
          <a:ext cx="2381250" cy="8286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B13:D13&gt;=B14:D14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E17:E18&lt;=F17:F18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B6:D7&gt;=0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User081\phlee\Documents\2018\FIT3158\Tutorial\Week%204\Prb04_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.monash.edu\home\User081\phlee\Documents\2018\FIT3158\Tutorial\Week%204\Prb04_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derson"/>
      <sheetName val="Sensitivity Report 1"/>
      <sheetName val="SMDA"/>
      <sheetName val="Prb04_10"/>
    </sheetNames>
    <definedNames>
      <definedName name="Toggl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Make vs. Buy Report"/>
      <sheetName val="Sensitivity Report 1"/>
      <sheetName val="Prb04_11"/>
    </sheetNames>
    <definedNames>
      <definedName name="Toggle"/>
    </definedNames>
    <sheetDataSet>
      <sheetData sheetId="0" refreshError="1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E684-9856-45C6-8AF2-D272B675B64D}">
  <dimension ref="A1:G30"/>
  <sheetViews>
    <sheetView showGridLines="0" topLeftCell="A16" zoomScale="120" workbookViewId="0">
      <selection activeCell="D25" sqref="D25"/>
    </sheetView>
  </sheetViews>
  <sheetFormatPr defaultRowHeight="12.5" x14ac:dyDescent="0.25"/>
  <cols>
    <col min="1" max="1" width="2.1796875" customWidth="1"/>
    <col min="2" max="2" width="5.08984375" bestFit="1" customWidth="1"/>
    <col min="3" max="3" width="26.08984375" bestFit="1" customWidth="1"/>
    <col min="4" max="4" width="12.90625" bestFit="1" customWidth="1"/>
    <col min="5" max="5" width="11.26953125" bestFit="1" customWidth="1"/>
    <col min="6" max="6" width="9.81640625" bestFit="1" customWidth="1"/>
    <col min="7" max="7" width="5.453125" bestFit="1" customWidth="1"/>
  </cols>
  <sheetData>
    <row r="1" spans="1:5" ht="13" x14ac:dyDescent="0.3">
      <c r="A1" s="4" t="s">
        <v>31</v>
      </c>
    </row>
    <row r="2" spans="1:5" ht="13" x14ac:dyDescent="0.3">
      <c r="A2" s="4" t="s">
        <v>32</v>
      </c>
    </row>
    <row r="3" spans="1:5" ht="13" x14ac:dyDescent="0.3">
      <c r="A3" s="4" t="s">
        <v>33</v>
      </c>
    </row>
    <row r="4" spans="1:5" ht="13" x14ac:dyDescent="0.3">
      <c r="A4" s="4" t="s">
        <v>34</v>
      </c>
    </row>
    <row r="5" spans="1:5" ht="13" x14ac:dyDescent="0.3">
      <c r="A5" s="4" t="s">
        <v>35</v>
      </c>
    </row>
    <row r="6" spans="1:5" ht="13" x14ac:dyDescent="0.3">
      <c r="A6" s="4"/>
      <c r="B6" t="s">
        <v>36</v>
      </c>
    </row>
    <row r="7" spans="1:5" ht="13" x14ac:dyDescent="0.3">
      <c r="A7" s="4"/>
      <c r="B7" t="s">
        <v>37</v>
      </c>
    </row>
    <row r="8" spans="1:5" ht="13" x14ac:dyDescent="0.3">
      <c r="A8" s="4"/>
      <c r="B8" t="s">
        <v>38</v>
      </c>
    </row>
    <row r="9" spans="1:5" ht="13" x14ac:dyDescent="0.3">
      <c r="A9" s="4" t="s">
        <v>39</v>
      </c>
    </row>
    <row r="10" spans="1:5" x14ac:dyDescent="0.25">
      <c r="B10" t="s">
        <v>40</v>
      </c>
    </row>
    <row r="11" spans="1:5" x14ac:dyDescent="0.25">
      <c r="B11" t="s">
        <v>41</v>
      </c>
    </row>
    <row r="14" spans="1:5" ht="13" thickBot="1" x14ac:dyDescent="0.3">
      <c r="A14" t="s">
        <v>42</v>
      </c>
    </row>
    <row r="15" spans="1:5" ht="13.5" thickBot="1" x14ac:dyDescent="0.35">
      <c r="B15" s="36" t="s">
        <v>43</v>
      </c>
      <c r="C15" s="36" t="s">
        <v>44</v>
      </c>
      <c r="D15" s="36" t="s">
        <v>45</v>
      </c>
      <c r="E15" s="36" t="s">
        <v>46</v>
      </c>
    </row>
    <row r="16" spans="1:5" ht="13" thickBot="1" x14ac:dyDescent="0.3">
      <c r="B16" s="35" t="s">
        <v>54</v>
      </c>
      <c r="C16" s="35" t="s">
        <v>55</v>
      </c>
      <c r="D16" s="38">
        <v>0</v>
      </c>
      <c r="E16" s="38">
        <v>32500</v>
      </c>
    </row>
    <row r="19" spans="1:7" ht="13" thickBot="1" x14ac:dyDescent="0.3">
      <c r="A19" t="s">
        <v>47</v>
      </c>
    </row>
    <row r="20" spans="1:7" ht="13.5" thickBot="1" x14ac:dyDescent="0.35">
      <c r="B20" s="36" t="s">
        <v>43</v>
      </c>
      <c r="C20" s="36" t="s">
        <v>44</v>
      </c>
      <c r="D20" s="36" t="s">
        <v>45</v>
      </c>
      <c r="E20" s="36" t="s">
        <v>46</v>
      </c>
      <c r="F20" s="36" t="s">
        <v>48</v>
      </c>
    </row>
    <row r="21" spans="1:7" x14ac:dyDescent="0.25">
      <c r="B21" s="37" t="s">
        <v>56</v>
      </c>
      <c r="C21" s="37" t="s">
        <v>57</v>
      </c>
      <c r="D21" s="39">
        <v>0</v>
      </c>
      <c r="E21" s="39">
        <v>130</v>
      </c>
      <c r="F21" s="37" t="s">
        <v>58</v>
      </c>
    </row>
    <row r="22" spans="1:7" ht="13" thickBot="1" x14ac:dyDescent="0.3">
      <c r="B22" s="35" t="s">
        <v>59</v>
      </c>
      <c r="C22" s="35" t="s">
        <v>60</v>
      </c>
      <c r="D22" s="40">
        <v>0</v>
      </c>
      <c r="E22" s="40">
        <v>0</v>
      </c>
      <c r="F22" s="35" t="s">
        <v>58</v>
      </c>
    </row>
    <row r="25" spans="1:7" ht="13" thickBot="1" x14ac:dyDescent="0.3">
      <c r="A25" t="s">
        <v>49</v>
      </c>
    </row>
    <row r="26" spans="1:7" ht="13.5" thickBot="1" x14ac:dyDescent="0.35">
      <c r="B26" s="36" t="s">
        <v>43</v>
      </c>
      <c r="C26" s="36" t="s">
        <v>44</v>
      </c>
      <c r="D26" s="36" t="s">
        <v>50</v>
      </c>
      <c r="E26" s="36" t="s">
        <v>51</v>
      </c>
      <c r="F26" s="36" t="s">
        <v>52</v>
      </c>
      <c r="G26" s="36" t="s">
        <v>53</v>
      </c>
    </row>
    <row r="27" spans="1:7" x14ac:dyDescent="0.25">
      <c r="B27" s="37" t="s">
        <v>61</v>
      </c>
      <c r="C27" s="37" t="s">
        <v>62</v>
      </c>
      <c r="D27" s="39">
        <v>260</v>
      </c>
      <c r="E27" s="37" t="s">
        <v>63</v>
      </c>
      <c r="F27" s="37" t="s">
        <v>64</v>
      </c>
      <c r="G27" s="37">
        <v>0</v>
      </c>
    </row>
    <row r="28" spans="1:7" x14ac:dyDescent="0.25">
      <c r="B28" s="37" t="s">
        <v>65</v>
      </c>
      <c r="C28" s="37" t="s">
        <v>66</v>
      </c>
      <c r="D28" s="39">
        <v>130</v>
      </c>
      <c r="E28" s="37" t="s">
        <v>67</v>
      </c>
      <c r="F28" s="37" t="s">
        <v>68</v>
      </c>
      <c r="G28" s="37">
        <v>10</v>
      </c>
    </row>
    <row r="29" spans="1:7" x14ac:dyDescent="0.25">
      <c r="B29" s="37" t="s">
        <v>56</v>
      </c>
      <c r="C29" s="37" t="s">
        <v>57</v>
      </c>
      <c r="D29" s="39">
        <v>130</v>
      </c>
      <c r="E29" s="37" t="s">
        <v>69</v>
      </c>
      <c r="F29" s="37" t="s">
        <v>68</v>
      </c>
      <c r="G29" s="39">
        <v>130</v>
      </c>
    </row>
    <row r="30" spans="1:7" ht="13" thickBot="1" x14ac:dyDescent="0.3">
      <c r="B30" s="35" t="s">
        <v>59</v>
      </c>
      <c r="C30" s="35" t="s">
        <v>60</v>
      </c>
      <c r="D30" s="40">
        <v>0</v>
      </c>
      <c r="E30" s="35" t="s">
        <v>70</v>
      </c>
      <c r="F30" s="35" t="s">
        <v>64</v>
      </c>
      <c r="G30" s="4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C7B6E-A695-46A2-9646-48F5E2CD951B}">
  <dimension ref="A1:H16"/>
  <sheetViews>
    <sheetView showGridLines="0" zoomScale="184" workbookViewId="0">
      <selection activeCell="F10" sqref="F10"/>
    </sheetView>
  </sheetViews>
  <sheetFormatPr defaultRowHeight="12.5" x14ac:dyDescent="0.25"/>
  <cols>
    <col min="1" max="1" width="2.1796875" customWidth="1"/>
    <col min="2" max="2" width="5.08984375" bestFit="1" customWidth="1"/>
    <col min="3" max="3" width="26.08984375" bestFit="1" customWidth="1"/>
    <col min="4" max="4" width="5.54296875" bestFit="1" customWidth="1"/>
    <col min="5" max="5" width="8.36328125" bestFit="1" customWidth="1"/>
    <col min="6" max="6" width="10.08984375" bestFit="1" customWidth="1"/>
    <col min="7" max="8" width="8.90625" bestFit="1" customWidth="1"/>
  </cols>
  <sheetData>
    <row r="1" spans="1:8" ht="13" x14ac:dyDescent="0.3">
      <c r="A1" s="4" t="s">
        <v>71</v>
      </c>
    </row>
    <row r="2" spans="1:8" ht="13" x14ac:dyDescent="0.3">
      <c r="A2" s="4" t="s">
        <v>32</v>
      </c>
    </row>
    <row r="3" spans="1:8" ht="13" x14ac:dyDescent="0.3">
      <c r="A3" s="4" t="s">
        <v>72</v>
      </c>
    </row>
    <row r="6" spans="1:8" ht="13" thickBot="1" x14ac:dyDescent="0.3">
      <c r="A6" t="s">
        <v>47</v>
      </c>
    </row>
    <row r="7" spans="1:8" ht="13" x14ac:dyDescent="0.3">
      <c r="B7" s="41"/>
      <c r="C7" s="41"/>
      <c r="D7" s="41" t="s">
        <v>73</v>
      </c>
      <c r="E7" s="41" t="s">
        <v>75</v>
      </c>
      <c r="F7" s="41" t="s">
        <v>77</v>
      </c>
      <c r="G7" s="41" t="s">
        <v>79</v>
      </c>
      <c r="H7" s="41" t="s">
        <v>79</v>
      </c>
    </row>
    <row r="8" spans="1:8" ht="13.5" thickBot="1" x14ac:dyDescent="0.35">
      <c r="B8" s="42" t="s">
        <v>43</v>
      </c>
      <c r="C8" s="42" t="s">
        <v>44</v>
      </c>
      <c r="D8" s="42" t="s">
        <v>74</v>
      </c>
      <c r="E8" s="42" t="s">
        <v>76</v>
      </c>
      <c r="F8" s="42" t="s">
        <v>78</v>
      </c>
      <c r="G8" s="42" t="s">
        <v>80</v>
      </c>
      <c r="H8" s="42" t="s">
        <v>81</v>
      </c>
    </row>
    <row r="9" spans="1:8" x14ac:dyDescent="0.25">
      <c r="B9" s="37" t="s">
        <v>56</v>
      </c>
      <c r="C9" s="37" t="s">
        <v>57</v>
      </c>
      <c r="D9" s="37">
        <v>130</v>
      </c>
      <c r="E9" s="37">
        <v>0</v>
      </c>
      <c r="F9" s="37">
        <v>250</v>
      </c>
      <c r="G9" s="37">
        <v>1E+30</v>
      </c>
      <c r="H9" s="37">
        <v>150</v>
      </c>
    </row>
    <row r="10" spans="1:8" ht="13" thickBot="1" x14ac:dyDescent="0.3">
      <c r="B10" s="35" t="s">
        <v>59</v>
      </c>
      <c r="C10" s="35" t="s">
        <v>60</v>
      </c>
      <c r="D10" s="35">
        <v>0</v>
      </c>
      <c r="E10" s="35">
        <v>-225</v>
      </c>
      <c r="F10" s="35">
        <v>150</v>
      </c>
      <c r="G10" s="35">
        <v>225</v>
      </c>
      <c r="H10" s="35">
        <v>1E+30</v>
      </c>
    </row>
    <row r="12" spans="1:8" ht="13" thickBot="1" x14ac:dyDescent="0.3">
      <c r="A12" t="s">
        <v>49</v>
      </c>
    </row>
    <row r="13" spans="1:8" ht="13" x14ac:dyDescent="0.3">
      <c r="B13" s="41"/>
      <c r="C13" s="41"/>
      <c r="D13" s="41" t="s">
        <v>73</v>
      </c>
      <c r="E13" s="41" t="s">
        <v>82</v>
      </c>
      <c r="F13" s="41" t="s">
        <v>84</v>
      </c>
      <c r="G13" s="41" t="s">
        <v>79</v>
      </c>
      <c r="H13" s="41" t="s">
        <v>79</v>
      </c>
    </row>
    <row r="14" spans="1:8" ht="13.5" thickBot="1" x14ac:dyDescent="0.35">
      <c r="B14" s="42" t="s">
        <v>43</v>
      </c>
      <c r="C14" s="42" t="s">
        <v>44</v>
      </c>
      <c r="D14" s="42" t="s">
        <v>74</v>
      </c>
      <c r="E14" s="42" t="s">
        <v>83</v>
      </c>
      <c r="F14" s="42" t="s">
        <v>85</v>
      </c>
      <c r="G14" s="42" t="s">
        <v>80</v>
      </c>
      <c r="H14" s="42" t="s">
        <v>81</v>
      </c>
    </row>
    <row r="15" spans="1:8" x14ac:dyDescent="0.25">
      <c r="B15" s="37" t="s">
        <v>61</v>
      </c>
      <c r="C15" s="37" t="s">
        <v>62</v>
      </c>
      <c r="D15" s="37">
        <v>260</v>
      </c>
      <c r="E15" s="37">
        <v>125</v>
      </c>
      <c r="F15" s="37">
        <v>260</v>
      </c>
      <c r="G15" s="37">
        <v>20</v>
      </c>
      <c r="H15" s="37">
        <v>260</v>
      </c>
    </row>
    <row r="16" spans="1:8" ht="13" thickBot="1" x14ac:dyDescent="0.3">
      <c r="B16" s="35" t="s">
        <v>65</v>
      </c>
      <c r="C16" s="35" t="s">
        <v>66</v>
      </c>
      <c r="D16" s="35">
        <v>130</v>
      </c>
      <c r="E16" s="35">
        <v>0</v>
      </c>
      <c r="F16" s="35">
        <v>140</v>
      </c>
      <c r="G16" s="35">
        <v>1E+30</v>
      </c>
      <c r="H16" s="3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F9"/>
  <sheetViews>
    <sheetView workbookViewId="0">
      <selection activeCell="D5" sqref="C5:D5"/>
    </sheetView>
  </sheetViews>
  <sheetFormatPr defaultRowHeight="12.5" x14ac:dyDescent="0.25"/>
  <cols>
    <col min="2" max="2" width="9.90625" customWidth="1"/>
    <col min="3" max="3" width="11.54296875" customWidth="1"/>
    <col min="4" max="4" width="11.90625" customWidth="1"/>
    <col min="5" max="5" width="10.453125" customWidth="1"/>
    <col min="6" max="6" width="11.54296875" customWidth="1"/>
  </cols>
  <sheetData>
    <row r="1" spans="2:6" ht="13" x14ac:dyDescent="0.3">
      <c r="C1" s="1"/>
      <c r="D1" s="1"/>
    </row>
    <row r="3" spans="2:6" ht="13.5" thickBot="1" x14ac:dyDescent="0.35">
      <c r="C3" s="3" t="s">
        <v>0</v>
      </c>
      <c r="D3" s="3" t="s">
        <v>1</v>
      </c>
      <c r="E3" s="4"/>
      <c r="F3" s="4" t="s">
        <v>2</v>
      </c>
    </row>
    <row r="4" spans="2:6" ht="14" thickTop="1" thickBot="1" x14ac:dyDescent="0.35">
      <c r="B4" s="5" t="s">
        <v>3</v>
      </c>
      <c r="C4" s="7">
        <v>130</v>
      </c>
      <c r="D4" s="7">
        <v>0</v>
      </c>
      <c r="F4" s="8">
        <f>SUMPRODUCT(C4:D4,C5:D5)</f>
        <v>32500</v>
      </c>
    </row>
    <row r="5" spans="2:6" ht="13.5" thickTop="1" x14ac:dyDescent="0.3">
      <c r="B5" s="5" t="s">
        <v>4</v>
      </c>
      <c r="C5" s="6">
        <v>250</v>
      </c>
      <c r="D5" s="6">
        <v>150</v>
      </c>
    </row>
    <row r="6" spans="2:6" ht="13" x14ac:dyDescent="0.3">
      <c r="B6" s="4"/>
      <c r="C6" s="2"/>
      <c r="D6" s="2"/>
    </row>
    <row r="7" spans="2:6" ht="13" x14ac:dyDescent="0.3">
      <c r="B7" s="5" t="s">
        <v>27</v>
      </c>
      <c r="C7" s="2"/>
      <c r="D7" s="2"/>
      <c r="E7" s="3" t="s">
        <v>5</v>
      </c>
      <c r="F7" s="3" t="s">
        <v>6</v>
      </c>
    </row>
    <row r="8" spans="2:6" ht="13" x14ac:dyDescent="0.3">
      <c r="B8" s="5" t="s">
        <v>7</v>
      </c>
      <c r="C8" s="3">
        <v>2</v>
      </c>
      <c r="D8" s="3">
        <v>3</v>
      </c>
      <c r="E8" s="9">
        <f>SUMPRODUCT($C$4:$D$4,C8:D8)</f>
        <v>260</v>
      </c>
      <c r="F8" s="3">
        <v>260</v>
      </c>
    </row>
    <row r="9" spans="2:6" ht="13" x14ac:dyDescent="0.3">
      <c r="B9" s="5" t="s">
        <v>8</v>
      </c>
      <c r="C9" s="3">
        <v>1</v>
      </c>
      <c r="D9" s="3">
        <v>2</v>
      </c>
      <c r="E9" s="9">
        <f>SUMPRODUCT($C$4:$D$4,C9:D9)</f>
        <v>130</v>
      </c>
      <c r="F9" s="3">
        <v>140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7913-180E-4EE2-8E77-6D443898B81E}">
  <dimension ref="A1:G31"/>
  <sheetViews>
    <sheetView showGridLines="0" topLeftCell="A22" zoomScale="204" workbookViewId="0">
      <selection activeCell="D29" sqref="D29:G29"/>
    </sheetView>
  </sheetViews>
  <sheetFormatPr defaultRowHeight="12.5" x14ac:dyDescent="0.25"/>
  <cols>
    <col min="1" max="1" width="2.1796875" customWidth="1"/>
    <col min="2" max="2" width="6" bestFit="1" customWidth="1"/>
    <col min="3" max="3" width="12.26953125" bestFit="1" customWidth="1"/>
    <col min="4" max="4" width="12.90625" bestFit="1" customWidth="1"/>
    <col min="5" max="5" width="13.36328125" bestFit="1" customWidth="1"/>
    <col min="6" max="6" width="9.81640625" bestFit="1" customWidth="1"/>
    <col min="7" max="7" width="5.453125" bestFit="1" customWidth="1"/>
  </cols>
  <sheetData>
    <row r="1" spans="1:5" ht="13" x14ac:dyDescent="0.3">
      <c r="A1" s="4" t="s">
        <v>31</v>
      </c>
    </row>
    <row r="2" spans="1:5" ht="13" x14ac:dyDescent="0.3">
      <c r="A2" s="4" t="s">
        <v>86</v>
      </c>
    </row>
    <row r="3" spans="1:5" ht="13" x14ac:dyDescent="0.3">
      <c r="A3" s="4" t="s">
        <v>105</v>
      </c>
    </row>
    <row r="4" spans="1:5" ht="13" x14ac:dyDescent="0.3">
      <c r="A4" s="4" t="s">
        <v>34</v>
      </c>
    </row>
    <row r="5" spans="1:5" ht="13" x14ac:dyDescent="0.3">
      <c r="A5" s="4" t="s">
        <v>35</v>
      </c>
    </row>
    <row r="6" spans="1:5" ht="13" x14ac:dyDescent="0.3">
      <c r="A6" s="4"/>
      <c r="B6" t="s">
        <v>36</v>
      </c>
    </row>
    <row r="7" spans="1:5" ht="13" x14ac:dyDescent="0.3">
      <c r="A7" s="4"/>
      <c r="B7" t="s">
        <v>87</v>
      </c>
    </row>
    <row r="8" spans="1:5" ht="13" x14ac:dyDescent="0.3">
      <c r="A8" s="4"/>
      <c r="B8" t="s">
        <v>88</v>
      </c>
    </row>
    <row r="9" spans="1:5" ht="13" x14ac:dyDescent="0.3">
      <c r="A9" s="4" t="s">
        <v>39</v>
      </c>
    </row>
    <row r="10" spans="1:5" x14ac:dyDescent="0.25">
      <c r="B10" t="s">
        <v>89</v>
      </c>
    </row>
    <row r="11" spans="1:5" x14ac:dyDescent="0.25">
      <c r="B11" t="s">
        <v>90</v>
      </c>
    </row>
    <row r="14" spans="1:5" ht="13" thickBot="1" x14ac:dyDescent="0.3">
      <c r="A14" t="s">
        <v>42</v>
      </c>
    </row>
    <row r="15" spans="1:5" ht="13.5" thickBot="1" x14ac:dyDescent="0.35">
      <c r="B15" s="36" t="s">
        <v>43</v>
      </c>
      <c r="C15" s="36" t="s">
        <v>44</v>
      </c>
      <c r="D15" s="36" t="s">
        <v>45</v>
      </c>
      <c r="E15" s="36" t="s">
        <v>46</v>
      </c>
    </row>
    <row r="16" spans="1:5" ht="13" thickBot="1" x14ac:dyDescent="0.3">
      <c r="B16" s="35" t="s">
        <v>91</v>
      </c>
      <c r="C16" s="35" t="s">
        <v>12</v>
      </c>
      <c r="D16" s="43">
        <v>26000</v>
      </c>
      <c r="E16" s="43">
        <v>26000</v>
      </c>
    </row>
    <row r="19" spans="1:7" ht="13" thickBot="1" x14ac:dyDescent="0.3">
      <c r="A19" t="s">
        <v>47</v>
      </c>
    </row>
    <row r="20" spans="1:7" ht="13.5" thickBot="1" x14ac:dyDescent="0.35">
      <c r="B20" s="36" t="s">
        <v>43</v>
      </c>
      <c r="C20" s="36" t="s">
        <v>44</v>
      </c>
      <c r="D20" s="36" t="s">
        <v>45</v>
      </c>
      <c r="E20" s="36" t="s">
        <v>46</v>
      </c>
      <c r="F20" s="36" t="s">
        <v>48</v>
      </c>
    </row>
    <row r="21" spans="1:7" x14ac:dyDescent="0.25">
      <c r="B21" s="37" t="s">
        <v>92</v>
      </c>
      <c r="C21" s="37" t="s">
        <v>93</v>
      </c>
      <c r="D21" s="39">
        <v>20</v>
      </c>
      <c r="E21" s="39">
        <v>20</v>
      </c>
      <c r="F21" s="37" t="s">
        <v>58</v>
      </c>
    </row>
    <row r="22" spans="1:7" ht="13" thickBot="1" x14ac:dyDescent="0.3">
      <c r="B22" s="35" t="s">
        <v>94</v>
      </c>
      <c r="C22" s="35" t="s">
        <v>95</v>
      </c>
      <c r="D22" s="40">
        <v>40</v>
      </c>
      <c r="E22" s="40">
        <v>40</v>
      </c>
      <c r="F22" s="35" t="s">
        <v>58</v>
      </c>
    </row>
    <row r="25" spans="1:7" ht="13" thickBot="1" x14ac:dyDescent="0.3">
      <c r="A25" t="s">
        <v>49</v>
      </c>
    </row>
    <row r="26" spans="1:7" ht="13.5" thickBot="1" x14ac:dyDescent="0.35">
      <c r="B26" s="36" t="s">
        <v>43</v>
      </c>
      <c r="C26" s="36" t="s">
        <v>44</v>
      </c>
      <c r="D26" s="36" t="s">
        <v>50</v>
      </c>
      <c r="E26" s="36" t="s">
        <v>51</v>
      </c>
      <c r="F26" s="36" t="s">
        <v>52</v>
      </c>
      <c r="G26" s="36" t="s">
        <v>53</v>
      </c>
    </row>
    <row r="27" spans="1:7" x14ac:dyDescent="0.25">
      <c r="B27" s="37" t="s">
        <v>65</v>
      </c>
      <c r="C27" s="37" t="s">
        <v>96</v>
      </c>
      <c r="D27" s="39">
        <v>40</v>
      </c>
      <c r="E27" s="37" t="s">
        <v>67</v>
      </c>
      <c r="F27" s="37" t="s">
        <v>64</v>
      </c>
      <c r="G27" s="37">
        <v>0</v>
      </c>
    </row>
    <row r="28" spans="1:7" x14ac:dyDescent="0.25">
      <c r="B28" s="37" t="s">
        <v>97</v>
      </c>
      <c r="C28" s="37" t="s">
        <v>98</v>
      </c>
      <c r="D28" s="39">
        <v>40</v>
      </c>
      <c r="E28" s="37" t="s">
        <v>99</v>
      </c>
      <c r="F28" s="37" t="s">
        <v>64</v>
      </c>
      <c r="G28" s="37">
        <v>0</v>
      </c>
    </row>
    <row r="29" spans="1:7" x14ac:dyDescent="0.25">
      <c r="B29" s="37" t="s">
        <v>100</v>
      </c>
      <c r="C29" s="37" t="s">
        <v>101</v>
      </c>
      <c r="D29" s="39">
        <v>50</v>
      </c>
      <c r="E29" s="37" t="s">
        <v>102</v>
      </c>
      <c r="F29" s="37" t="s">
        <v>68</v>
      </c>
      <c r="G29" s="37">
        <v>10</v>
      </c>
    </row>
    <row r="30" spans="1:7" x14ac:dyDescent="0.25">
      <c r="B30" s="37" t="s">
        <v>92</v>
      </c>
      <c r="C30" s="37" t="s">
        <v>93</v>
      </c>
      <c r="D30" s="39">
        <v>20</v>
      </c>
      <c r="E30" s="37" t="s">
        <v>103</v>
      </c>
      <c r="F30" s="37" t="s">
        <v>68</v>
      </c>
      <c r="G30" s="39">
        <v>20</v>
      </c>
    </row>
    <row r="31" spans="1:7" ht="13" thickBot="1" x14ac:dyDescent="0.3">
      <c r="B31" s="35" t="s">
        <v>94</v>
      </c>
      <c r="C31" s="35" t="s">
        <v>95</v>
      </c>
      <c r="D31" s="40">
        <v>40</v>
      </c>
      <c r="E31" s="35" t="s">
        <v>104</v>
      </c>
      <c r="F31" s="35" t="s">
        <v>68</v>
      </c>
      <c r="G31" s="40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0008-8EA9-4226-9646-A032C992E2B9}">
  <dimension ref="A1:H17"/>
  <sheetViews>
    <sheetView showGridLines="0" topLeftCell="A6" zoomScale="176" workbookViewId="0">
      <selection activeCell="F16" sqref="F16"/>
    </sheetView>
  </sheetViews>
  <sheetFormatPr defaultRowHeight="12.5" x14ac:dyDescent="0.25"/>
  <cols>
    <col min="1" max="1" width="2.1796875" customWidth="1"/>
    <col min="2" max="2" width="6" bestFit="1" customWidth="1"/>
    <col min="3" max="3" width="12.26953125" bestFit="1" customWidth="1"/>
    <col min="4" max="4" width="5.54296875" bestFit="1" customWidth="1"/>
    <col min="5" max="5" width="8.36328125" bestFit="1" customWidth="1"/>
    <col min="6" max="6" width="10.08984375" bestFit="1" customWidth="1"/>
    <col min="7" max="8" width="11.81640625" bestFit="1" customWidth="1"/>
  </cols>
  <sheetData>
    <row r="1" spans="1:8" ht="13" x14ac:dyDescent="0.3">
      <c r="A1" s="4" t="s">
        <v>71</v>
      </c>
    </row>
    <row r="2" spans="1:8" ht="13" x14ac:dyDescent="0.3">
      <c r="A2" s="4" t="s">
        <v>86</v>
      </c>
    </row>
    <row r="3" spans="1:8" ht="13" x14ac:dyDescent="0.3">
      <c r="A3" s="4" t="s">
        <v>105</v>
      </c>
    </row>
    <row r="6" spans="1:8" ht="13" thickBot="1" x14ac:dyDescent="0.3">
      <c r="A6" t="s">
        <v>47</v>
      </c>
    </row>
    <row r="7" spans="1:8" ht="13" x14ac:dyDescent="0.3">
      <c r="B7" s="41"/>
      <c r="C7" s="41"/>
      <c r="D7" s="41" t="s">
        <v>73</v>
      </c>
      <c r="E7" s="41" t="s">
        <v>75</v>
      </c>
      <c r="F7" s="41" t="s">
        <v>77</v>
      </c>
      <c r="G7" s="41" t="s">
        <v>79</v>
      </c>
      <c r="H7" s="41" t="s">
        <v>79</v>
      </c>
    </row>
    <row r="8" spans="1:8" ht="13.5" thickBot="1" x14ac:dyDescent="0.35">
      <c r="B8" s="42" t="s">
        <v>43</v>
      </c>
      <c r="C8" s="42" t="s">
        <v>44</v>
      </c>
      <c r="D8" s="42" t="s">
        <v>74</v>
      </c>
      <c r="E8" s="42" t="s">
        <v>76</v>
      </c>
      <c r="F8" s="42" t="s">
        <v>78</v>
      </c>
      <c r="G8" s="42" t="s">
        <v>80</v>
      </c>
      <c r="H8" s="42" t="s">
        <v>81</v>
      </c>
    </row>
    <row r="9" spans="1:8" x14ac:dyDescent="0.25">
      <c r="B9" s="37" t="s">
        <v>92</v>
      </c>
      <c r="C9" s="37" t="s">
        <v>93</v>
      </c>
      <c r="D9" s="37">
        <v>20</v>
      </c>
      <c r="E9" s="37">
        <v>0</v>
      </c>
      <c r="F9" s="37">
        <v>500</v>
      </c>
      <c r="G9" s="37">
        <v>300</v>
      </c>
      <c r="H9" s="37">
        <v>233.33333333333334</v>
      </c>
    </row>
    <row r="10" spans="1:8" ht="13" thickBot="1" x14ac:dyDescent="0.3">
      <c r="B10" s="35" t="s">
        <v>94</v>
      </c>
      <c r="C10" s="35" t="s">
        <v>95</v>
      </c>
      <c r="D10" s="35">
        <v>40</v>
      </c>
      <c r="E10" s="35">
        <v>0</v>
      </c>
      <c r="F10" s="35">
        <v>400</v>
      </c>
      <c r="G10" s="35">
        <v>350</v>
      </c>
      <c r="H10" s="35">
        <v>150</v>
      </c>
    </row>
    <row r="12" spans="1:8" ht="13" thickBot="1" x14ac:dyDescent="0.3">
      <c r="A12" t="s">
        <v>49</v>
      </c>
    </row>
    <row r="13" spans="1:8" ht="13" x14ac:dyDescent="0.3">
      <c r="B13" s="41"/>
      <c r="C13" s="41"/>
      <c r="D13" s="41" t="s">
        <v>73</v>
      </c>
      <c r="E13" s="41" t="s">
        <v>82</v>
      </c>
      <c r="F13" s="41" t="s">
        <v>84</v>
      </c>
      <c r="G13" s="41" t="s">
        <v>79</v>
      </c>
      <c r="H13" s="41" t="s">
        <v>79</v>
      </c>
    </row>
    <row r="14" spans="1:8" ht="13.5" thickBot="1" x14ac:dyDescent="0.35">
      <c r="B14" s="42" t="s">
        <v>43</v>
      </c>
      <c r="C14" s="42" t="s">
        <v>44</v>
      </c>
      <c r="D14" s="42" t="s">
        <v>74</v>
      </c>
      <c r="E14" s="42" t="s">
        <v>83</v>
      </c>
      <c r="F14" s="42" t="s">
        <v>85</v>
      </c>
      <c r="G14" s="42" t="s">
        <v>80</v>
      </c>
      <c r="H14" s="42" t="s">
        <v>81</v>
      </c>
    </row>
    <row r="15" spans="1:8" x14ac:dyDescent="0.25">
      <c r="B15" s="37" t="s">
        <v>65</v>
      </c>
      <c r="C15" s="37" t="s">
        <v>96</v>
      </c>
      <c r="D15" s="37">
        <v>40</v>
      </c>
      <c r="E15" s="37">
        <v>350</v>
      </c>
      <c r="F15" s="37">
        <v>40</v>
      </c>
      <c r="G15" s="37">
        <v>40</v>
      </c>
      <c r="H15" s="37">
        <v>13.333333333333334</v>
      </c>
    </row>
    <row r="16" spans="1:8" x14ac:dyDescent="0.25">
      <c r="B16" s="37" t="s">
        <v>97</v>
      </c>
      <c r="C16" s="37" t="s">
        <v>98</v>
      </c>
      <c r="D16" s="37">
        <v>40</v>
      </c>
      <c r="E16" s="37">
        <v>300</v>
      </c>
      <c r="F16" s="37">
        <v>40</v>
      </c>
      <c r="G16" s="37">
        <v>6.666666666666667</v>
      </c>
      <c r="H16" s="37">
        <v>20</v>
      </c>
    </row>
    <row r="17" spans="2:8" ht="13" thickBot="1" x14ac:dyDescent="0.3">
      <c r="B17" s="35" t="s">
        <v>100</v>
      </c>
      <c r="C17" s="35" t="s">
        <v>101</v>
      </c>
      <c r="D17" s="35">
        <v>50</v>
      </c>
      <c r="E17" s="35">
        <v>0</v>
      </c>
      <c r="F17" s="35">
        <v>60</v>
      </c>
      <c r="G17" s="35">
        <v>1E+30</v>
      </c>
      <c r="H17" s="35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4:F11"/>
  <sheetViews>
    <sheetView workbookViewId="0">
      <selection activeCell="G13" sqref="G13"/>
    </sheetView>
  </sheetViews>
  <sheetFormatPr defaultRowHeight="12.5" x14ac:dyDescent="0.25"/>
  <cols>
    <col min="2" max="2" width="18.90625" bestFit="1" customWidth="1"/>
    <col min="3" max="3" width="9.36328125" customWidth="1"/>
    <col min="4" max="4" width="11.453125" bestFit="1" customWidth="1"/>
    <col min="5" max="5" width="14" customWidth="1"/>
    <col min="6" max="6" width="12.453125" customWidth="1"/>
  </cols>
  <sheetData>
    <row r="4" spans="2:6" ht="15.5" x14ac:dyDescent="0.35">
      <c r="B4" s="11"/>
      <c r="C4" s="12" t="s">
        <v>9</v>
      </c>
      <c r="D4" s="12" t="s">
        <v>10</v>
      </c>
      <c r="E4" s="12"/>
      <c r="F4" s="12"/>
    </row>
    <row r="5" spans="2:6" ht="16" thickBot="1" x14ac:dyDescent="0.4">
      <c r="B5" s="11" t="s">
        <v>11</v>
      </c>
      <c r="C5" s="13">
        <v>20</v>
      </c>
      <c r="D5" s="13">
        <v>40</v>
      </c>
      <c r="E5" s="12"/>
      <c r="F5" s="12"/>
    </row>
    <row r="6" spans="2:6" ht="16.5" thickTop="1" thickBot="1" x14ac:dyDescent="0.4">
      <c r="B6" s="11" t="s">
        <v>12</v>
      </c>
      <c r="C6" s="14">
        <v>500</v>
      </c>
      <c r="D6" s="14">
        <v>400</v>
      </c>
      <c r="E6" s="15">
        <f>SUMPRODUCT(C6:D6,$C$5:$D$5)</f>
        <v>26000</v>
      </c>
      <c r="F6" s="12"/>
    </row>
    <row r="7" spans="2:6" ht="16" thickTop="1" x14ac:dyDescent="0.35">
      <c r="B7" s="11"/>
      <c r="C7" s="12"/>
      <c r="D7" s="12"/>
      <c r="E7" s="12"/>
      <c r="F7" s="12"/>
    </row>
    <row r="8" spans="2:6" ht="15.5" x14ac:dyDescent="0.35">
      <c r="B8" s="11" t="s">
        <v>27</v>
      </c>
      <c r="C8" s="12"/>
      <c r="D8" s="12"/>
      <c r="E8" s="12" t="s">
        <v>5</v>
      </c>
      <c r="F8" s="12" t="s">
        <v>6</v>
      </c>
    </row>
    <row r="9" spans="2:6" ht="15.5" x14ac:dyDescent="0.35">
      <c r="B9" s="11" t="s">
        <v>13</v>
      </c>
      <c r="C9" s="12">
        <v>1</v>
      </c>
      <c r="D9" s="16">
        <v>0.5</v>
      </c>
      <c r="E9" s="17">
        <f>SUMPRODUCT(C9:D9,$C$5:$D$5)</f>
        <v>40</v>
      </c>
      <c r="F9" s="12">
        <v>40</v>
      </c>
    </row>
    <row r="10" spans="2:6" ht="15.5" x14ac:dyDescent="0.35">
      <c r="B10" s="11" t="s">
        <v>14</v>
      </c>
      <c r="C10" s="12">
        <v>0.5</v>
      </c>
      <c r="D10" s="16">
        <v>0.75</v>
      </c>
      <c r="E10" s="17">
        <f>SUMPRODUCT(C10:D10,$C$5:$D$5)</f>
        <v>40</v>
      </c>
      <c r="F10" s="12">
        <v>40</v>
      </c>
    </row>
    <row r="11" spans="2:6" ht="15.5" x14ac:dyDescent="0.35">
      <c r="B11" s="11" t="s">
        <v>15</v>
      </c>
      <c r="C11" s="12">
        <v>0.5</v>
      </c>
      <c r="D11" s="16">
        <v>1</v>
      </c>
      <c r="E11" s="17">
        <f>SUMPRODUCT(C11:D11,$C$5:$D$5)</f>
        <v>50</v>
      </c>
      <c r="F11" s="12">
        <v>60</v>
      </c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4123B-2AF5-49B6-BBBA-44D7D4A6AF0D}">
  <dimension ref="A1:G41"/>
  <sheetViews>
    <sheetView showGridLines="0" tabSelected="1" topLeftCell="A8" zoomScale="114" workbookViewId="0">
      <selection activeCell="E26" sqref="E26"/>
    </sheetView>
  </sheetViews>
  <sheetFormatPr defaultRowHeight="12.5" x14ac:dyDescent="0.25"/>
  <cols>
    <col min="1" max="1" width="2.1796875" customWidth="1"/>
    <col min="2" max="2" width="6.08984375" bestFit="1" customWidth="1"/>
    <col min="3" max="3" width="17.26953125" bestFit="1" customWidth="1"/>
    <col min="4" max="4" width="12.90625" bestFit="1" customWidth="1"/>
    <col min="5" max="5" width="13.6328125" bestFit="1" customWidth="1"/>
    <col min="6" max="6" width="9.81640625" bestFit="1" customWidth="1"/>
    <col min="7" max="7" width="6" bestFit="1" customWidth="1"/>
  </cols>
  <sheetData>
    <row r="1" spans="1:5" ht="13" x14ac:dyDescent="0.3">
      <c r="A1" s="4" t="s">
        <v>31</v>
      </c>
    </row>
    <row r="2" spans="1:5" ht="13" x14ac:dyDescent="0.3">
      <c r="A2" s="4" t="s">
        <v>106</v>
      </c>
    </row>
    <row r="3" spans="1:5" ht="13" x14ac:dyDescent="0.3">
      <c r="A3" s="4" t="s">
        <v>137</v>
      </c>
    </row>
    <row r="4" spans="1:5" ht="13" x14ac:dyDescent="0.3">
      <c r="A4" s="4" t="s">
        <v>34</v>
      </c>
    </row>
    <row r="5" spans="1:5" ht="13" x14ac:dyDescent="0.3">
      <c r="A5" s="4" t="s">
        <v>35</v>
      </c>
    </row>
    <row r="6" spans="1:5" ht="13" x14ac:dyDescent="0.3">
      <c r="A6" s="4"/>
      <c r="B6" t="s">
        <v>36</v>
      </c>
    </row>
    <row r="7" spans="1:5" ht="13" x14ac:dyDescent="0.3">
      <c r="A7" s="4"/>
      <c r="B7" t="s">
        <v>138</v>
      </c>
    </row>
    <row r="8" spans="1:5" ht="13" x14ac:dyDescent="0.3">
      <c r="A8" s="4"/>
      <c r="B8" t="s">
        <v>107</v>
      </c>
    </row>
    <row r="9" spans="1:5" ht="13" x14ac:dyDescent="0.3">
      <c r="A9" s="4" t="s">
        <v>39</v>
      </c>
    </row>
    <row r="10" spans="1:5" x14ac:dyDescent="0.25">
      <c r="B10" t="s">
        <v>89</v>
      </c>
    </row>
    <row r="11" spans="1:5" x14ac:dyDescent="0.25">
      <c r="B11" t="s">
        <v>90</v>
      </c>
    </row>
    <row r="14" spans="1:5" ht="13" thickBot="1" x14ac:dyDescent="0.3">
      <c r="A14" t="s">
        <v>108</v>
      </c>
    </row>
    <row r="15" spans="1:5" ht="13.5" thickBot="1" x14ac:dyDescent="0.35">
      <c r="B15" s="36" t="s">
        <v>43</v>
      </c>
      <c r="C15" s="36" t="s">
        <v>44</v>
      </c>
      <c r="D15" s="36" t="s">
        <v>45</v>
      </c>
      <c r="E15" s="36" t="s">
        <v>46</v>
      </c>
    </row>
    <row r="16" spans="1:5" ht="13" thickBot="1" x14ac:dyDescent="0.3">
      <c r="B16" s="35" t="s">
        <v>100</v>
      </c>
      <c r="C16" s="35" t="s">
        <v>109</v>
      </c>
      <c r="D16" s="44">
        <v>453300</v>
      </c>
      <c r="E16" s="44">
        <v>453300</v>
      </c>
    </row>
    <row r="19" spans="1:7" ht="13" thickBot="1" x14ac:dyDescent="0.3">
      <c r="A19" t="s">
        <v>47</v>
      </c>
    </row>
    <row r="20" spans="1:7" ht="13.5" thickBot="1" x14ac:dyDescent="0.35">
      <c r="B20" s="36" t="s">
        <v>43</v>
      </c>
      <c r="C20" s="36" t="s">
        <v>44</v>
      </c>
      <c r="D20" s="36" t="s">
        <v>45</v>
      </c>
      <c r="E20" s="36" t="s">
        <v>46</v>
      </c>
      <c r="F20" s="36" t="s">
        <v>48</v>
      </c>
    </row>
    <row r="21" spans="1:7" x14ac:dyDescent="0.25">
      <c r="B21" s="37" t="s">
        <v>110</v>
      </c>
      <c r="C21" s="37" t="s">
        <v>111</v>
      </c>
      <c r="D21" s="45">
        <v>3000</v>
      </c>
      <c r="E21" s="45">
        <v>3000</v>
      </c>
      <c r="F21" s="37" t="s">
        <v>58</v>
      </c>
    </row>
    <row r="22" spans="1:7" x14ac:dyDescent="0.25">
      <c r="B22" s="37" t="s">
        <v>112</v>
      </c>
      <c r="C22" s="37" t="s">
        <v>113</v>
      </c>
      <c r="D22" s="45">
        <v>550</v>
      </c>
      <c r="E22" s="45">
        <v>550</v>
      </c>
      <c r="F22" s="37" t="s">
        <v>58</v>
      </c>
    </row>
    <row r="23" spans="1:7" x14ac:dyDescent="0.25">
      <c r="B23" s="37" t="s">
        <v>114</v>
      </c>
      <c r="C23" s="37" t="s">
        <v>115</v>
      </c>
      <c r="D23" s="45">
        <v>900</v>
      </c>
      <c r="E23" s="45">
        <v>900</v>
      </c>
      <c r="F23" s="37" t="s">
        <v>58</v>
      </c>
    </row>
    <row r="24" spans="1:7" x14ac:dyDescent="0.25">
      <c r="B24" s="37" t="s">
        <v>116</v>
      </c>
      <c r="C24" s="37" t="s">
        <v>117</v>
      </c>
      <c r="D24" s="45">
        <v>0</v>
      </c>
      <c r="E24" s="45">
        <v>0</v>
      </c>
      <c r="F24" s="37" t="s">
        <v>58</v>
      </c>
    </row>
    <row r="25" spans="1:7" x14ac:dyDescent="0.25">
      <c r="B25" s="37" t="s">
        <v>118</v>
      </c>
      <c r="C25" s="37" t="s">
        <v>119</v>
      </c>
      <c r="D25" s="45">
        <v>1450</v>
      </c>
      <c r="E25" s="45">
        <v>1450</v>
      </c>
      <c r="F25" s="37" t="s">
        <v>58</v>
      </c>
    </row>
    <row r="26" spans="1:7" ht="13" thickBot="1" x14ac:dyDescent="0.3">
      <c r="B26" s="35" t="s">
        <v>120</v>
      </c>
      <c r="C26" s="35" t="s">
        <v>121</v>
      </c>
      <c r="D26" s="46">
        <v>0</v>
      </c>
      <c r="E26" s="46">
        <v>0</v>
      </c>
      <c r="F26" s="35" t="s">
        <v>58</v>
      </c>
    </row>
    <row r="29" spans="1:7" ht="13" thickBot="1" x14ac:dyDescent="0.3">
      <c r="A29" t="s">
        <v>49</v>
      </c>
    </row>
    <row r="30" spans="1:7" ht="13.5" thickBot="1" x14ac:dyDescent="0.35">
      <c r="B30" s="36" t="s">
        <v>43</v>
      </c>
      <c r="C30" s="36" t="s">
        <v>44</v>
      </c>
      <c r="D30" s="36" t="s">
        <v>50</v>
      </c>
      <c r="E30" s="36" t="s">
        <v>51</v>
      </c>
      <c r="F30" s="36" t="s">
        <v>52</v>
      </c>
      <c r="G30" s="36" t="s">
        <v>53</v>
      </c>
    </row>
    <row r="31" spans="1:7" x14ac:dyDescent="0.25">
      <c r="B31" s="37" t="s">
        <v>122</v>
      </c>
      <c r="C31" s="37" t="s">
        <v>123</v>
      </c>
      <c r="D31" s="45">
        <v>3000</v>
      </c>
      <c r="E31" s="37" t="s">
        <v>124</v>
      </c>
      <c r="F31" s="37" t="s">
        <v>64</v>
      </c>
      <c r="G31" s="45">
        <v>0</v>
      </c>
    </row>
    <row r="32" spans="1:7" x14ac:dyDescent="0.25">
      <c r="B32" s="37" t="s">
        <v>125</v>
      </c>
      <c r="C32" s="37" t="s">
        <v>126</v>
      </c>
      <c r="D32" s="45">
        <v>2000</v>
      </c>
      <c r="E32" s="37" t="s">
        <v>127</v>
      </c>
      <c r="F32" s="37" t="s">
        <v>64</v>
      </c>
      <c r="G32" s="45">
        <v>0</v>
      </c>
    </row>
    <row r="33" spans="2:7" x14ac:dyDescent="0.25">
      <c r="B33" s="37" t="s">
        <v>128</v>
      </c>
      <c r="C33" s="37" t="s">
        <v>129</v>
      </c>
      <c r="D33" s="45">
        <v>900</v>
      </c>
      <c r="E33" s="37" t="s">
        <v>130</v>
      </c>
      <c r="F33" s="37" t="s">
        <v>64</v>
      </c>
      <c r="G33" s="45">
        <v>0</v>
      </c>
    </row>
    <row r="34" spans="2:7" x14ac:dyDescent="0.25">
      <c r="B34" s="37" t="s">
        <v>131</v>
      </c>
      <c r="C34" s="37" t="s">
        <v>132</v>
      </c>
      <c r="D34" s="45">
        <v>9525</v>
      </c>
      <c r="E34" s="37" t="s">
        <v>133</v>
      </c>
      <c r="F34" s="37" t="s">
        <v>68</v>
      </c>
      <c r="G34" s="37">
        <v>475</v>
      </c>
    </row>
    <row r="35" spans="2:7" x14ac:dyDescent="0.25">
      <c r="B35" s="37" t="s">
        <v>134</v>
      </c>
      <c r="C35" s="37" t="s">
        <v>135</v>
      </c>
      <c r="D35" s="45">
        <v>5000</v>
      </c>
      <c r="E35" s="37" t="s">
        <v>136</v>
      </c>
      <c r="F35" s="37" t="s">
        <v>64</v>
      </c>
      <c r="G35" s="37">
        <v>0</v>
      </c>
    </row>
    <row r="36" spans="2:7" x14ac:dyDescent="0.25">
      <c r="B36" s="37" t="s">
        <v>110</v>
      </c>
      <c r="C36" s="37" t="s">
        <v>111</v>
      </c>
      <c r="D36" s="45">
        <v>3000</v>
      </c>
      <c r="E36" s="37" t="s">
        <v>139</v>
      </c>
      <c r="F36" s="37" t="s">
        <v>68</v>
      </c>
      <c r="G36" s="45">
        <v>3000</v>
      </c>
    </row>
    <row r="37" spans="2:7" x14ac:dyDescent="0.25">
      <c r="B37" s="37" t="s">
        <v>112</v>
      </c>
      <c r="C37" s="37" t="s">
        <v>113</v>
      </c>
      <c r="D37" s="45">
        <v>550</v>
      </c>
      <c r="E37" s="37" t="s">
        <v>140</v>
      </c>
      <c r="F37" s="37" t="s">
        <v>68</v>
      </c>
      <c r="G37" s="45">
        <v>550</v>
      </c>
    </row>
    <row r="38" spans="2:7" x14ac:dyDescent="0.25">
      <c r="B38" s="37" t="s">
        <v>114</v>
      </c>
      <c r="C38" s="37" t="s">
        <v>115</v>
      </c>
      <c r="D38" s="45">
        <v>900</v>
      </c>
      <c r="E38" s="37" t="s">
        <v>141</v>
      </c>
      <c r="F38" s="37" t="s">
        <v>68</v>
      </c>
      <c r="G38" s="45">
        <v>900</v>
      </c>
    </row>
    <row r="39" spans="2:7" x14ac:dyDescent="0.25">
      <c r="B39" s="37" t="s">
        <v>116</v>
      </c>
      <c r="C39" s="37" t="s">
        <v>117</v>
      </c>
      <c r="D39" s="45">
        <v>0</v>
      </c>
      <c r="E39" s="37" t="s">
        <v>142</v>
      </c>
      <c r="F39" s="37" t="s">
        <v>64</v>
      </c>
      <c r="G39" s="45">
        <v>0</v>
      </c>
    </row>
    <row r="40" spans="2:7" x14ac:dyDescent="0.25">
      <c r="B40" s="37" t="s">
        <v>118</v>
      </c>
      <c r="C40" s="37" t="s">
        <v>119</v>
      </c>
      <c r="D40" s="45">
        <v>1450</v>
      </c>
      <c r="E40" s="37" t="s">
        <v>143</v>
      </c>
      <c r="F40" s="37" t="s">
        <v>68</v>
      </c>
      <c r="G40" s="45">
        <v>1450</v>
      </c>
    </row>
    <row r="41" spans="2:7" ht="13" thickBot="1" x14ac:dyDescent="0.3">
      <c r="B41" s="35" t="s">
        <v>120</v>
      </c>
      <c r="C41" s="35" t="s">
        <v>121</v>
      </c>
      <c r="D41" s="46">
        <v>0</v>
      </c>
      <c r="E41" s="35" t="s">
        <v>144</v>
      </c>
      <c r="F41" s="35" t="s">
        <v>64</v>
      </c>
      <c r="G41" s="4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7B6C-33A4-4EA4-80F5-70B1762455CD}">
  <dimension ref="A1:H23"/>
  <sheetViews>
    <sheetView showGridLines="0" topLeftCell="A7" zoomScale="121" workbookViewId="0"/>
  </sheetViews>
  <sheetFormatPr defaultRowHeight="12.5" x14ac:dyDescent="0.25"/>
  <cols>
    <col min="1" max="1" width="2.1796875" customWidth="1"/>
    <col min="2" max="2" width="6.08984375" bestFit="1" customWidth="1"/>
    <col min="3" max="3" width="17.26953125" bestFit="1" customWidth="1"/>
    <col min="4" max="4" width="5.54296875" bestFit="1" customWidth="1"/>
    <col min="5" max="5" width="8.36328125" bestFit="1" customWidth="1"/>
    <col min="6" max="6" width="10.08984375" bestFit="1" customWidth="1"/>
    <col min="7" max="7" width="11.81640625" bestFit="1" customWidth="1"/>
    <col min="8" max="8" width="8.90625" bestFit="1" customWidth="1"/>
  </cols>
  <sheetData>
    <row r="1" spans="1:8" ht="13" x14ac:dyDescent="0.3">
      <c r="A1" s="4" t="s">
        <v>71</v>
      </c>
    </row>
    <row r="2" spans="1:8" ht="13" x14ac:dyDescent="0.3">
      <c r="A2" s="4" t="s">
        <v>106</v>
      </c>
    </row>
    <row r="3" spans="1:8" ht="13" x14ac:dyDescent="0.3">
      <c r="A3" s="4" t="s">
        <v>145</v>
      </c>
    </row>
    <row r="6" spans="1:8" ht="13" thickBot="1" x14ac:dyDescent="0.3">
      <c r="A6" t="s">
        <v>47</v>
      </c>
    </row>
    <row r="7" spans="1:8" ht="13" x14ac:dyDescent="0.3">
      <c r="B7" s="41"/>
      <c r="C7" s="41"/>
      <c r="D7" s="41" t="s">
        <v>73</v>
      </c>
      <c r="E7" s="41" t="s">
        <v>75</v>
      </c>
      <c r="F7" s="41" t="s">
        <v>77</v>
      </c>
      <c r="G7" s="41" t="s">
        <v>79</v>
      </c>
      <c r="H7" s="41" t="s">
        <v>79</v>
      </c>
    </row>
    <row r="8" spans="1:8" ht="13.5" thickBot="1" x14ac:dyDescent="0.35">
      <c r="B8" s="42" t="s">
        <v>43</v>
      </c>
      <c r="C8" s="42" t="s">
        <v>44</v>
      </c>
      <c r="D8" s="42" t="s">
        <v>74</v>
      </c>
      <c r="E8" s="42" t="s">
        <v>76</v>
      </c>
      <c r="F8" s="42" t="s">
        <v>78</v>
      </c>
      <c r="G8" s="42" t="s">
        <v>80</v>
      </c>
      <c r="H8" s="42" t="s">
        <v>81</v>
      </c>
    </row>
    <row r="9" spans="1:8" x14ac:dyDescent="0.25">
      <c r="B9" s="37" t="s">
        <v>110</v>
      </c>
      <c r="C9" s="37" t="s">
        <v>111</v>
      </c>
      <c r="D9" s="37">
        <v>3000</v>
      </c>
      <c r="E9" s="37">
        <v>0</v>
      </c>
      <c r="F9" s="37">
        <v>50</v>
      </c>
      <c r="G9" s="37">
        <v>4</v>
      </c>
      <c r="H9" s="37">
        <v>57</v>
      </c>
    </row>
    <row r="10" spans="1:8" x14ac:dyDescent="0.25">
      <c r="B10" s="37" t="s">
        <v>112</v>
      </c>
      <c r="C10" s="37" t="s">
        <v>113</v>
      </c>
      <c r="D10" s="37">
        <v>550</v>
      </c>
      <c r="E10" s="37">
        <v>0</v>
      </c>
      <c r="F10" s="37">
        <v>83</v>
      </c>
      <c r="G10" s="37">
        <v>14</v>
      </c>
      <c r="H10" s="37">
        <v>8</v>
      </c>
    </row>
    <row r="11" spans="1:8" x14ac:dyDescent="0.25">
      <c r="B11" s="37" t="s">
        <v>114</v>
      </c>
      <c r="C11" s="37" t="s">
        <v>115</v>
      </c>
      <c r="D11" s="37">
        <v>900</v>
      </c>
      <c r="E11" s="37">
        <v>0</v>
      </c>
      <c r="F11" s="37">
        <v>130</v>
      </c>
      <c r="G11" s="37">
        <v>8</v>
      </c>
      <c r="H11" s="37">
        <v>137</v>
      </c>
    </row>
    <row r="12" spans="1:8" x14ac:dyDescent="0.25">
      <c r="B12" s="37" t="s">
        <v>116</v>
      </c>
      <c r="C12" s="37" t="s">
        <v>117</v>
      </c>
      <c r="D12" s="37">
        <v>0</v>
      </c>
      <c r="E12" s="37">
        <v>4</v>
      </c>
      <c r="F12" s="37">
        <v>61</v>
      </c>
      <c r="G12" s="37">
        <v>1E+30</v>
      </c>
      <c r="H12" s="37">
        <v>4</v>
      </c>
    </row>
    <row r="13" spans="1:8" x14ac:dyDescent="0.25">
      <c r="B13" s="37" t="s">
        <v>118</v>
      </c>
      <c r="C13" s="37" t="s">
        <v>119</v>
      </c>
      <c r="D13" s="37">
        <v>1450</v>
      </c>
      <c r="E13" s="37">
        <v>0</v>
      </c>
      <c r="F13" s="37">
        <v>97</v>
      </c>
      <c r="G13" s="37">
        <v>8</v>
      </c>
      <c r="H13" s="37">
        <v>14</v>
      </c>
    </row>
    <row r="14" spans="1:8" ht="13" thickBot="1" x14ac:dyDescent="0.3">
      <c r="B14" s="35" t="s">
        <v>120</v>
      </c>
      <c r="C14" s="35" t="s">
        <v>121</v>
      </c>
      <c r="D14" s="35">
        <v>0</v>
      </c>
      <c r="E14" s="35">
        <v>8</v>
      </c>
      <c r="F14" s="35">
        <v>145</v>
      </c>
      <c r="G14" s="35">
        <v>1E+30</v>
      </c>
      <c r="H14" s="35">
        <v>8</v>
      </c>
    </row>
    <row r="16" spans="1:8" ht="13" thickBot="1" x14ac:dyDescent="0.3">
      <c r="A16" t="s">
        <v>49</v>
      </c>
    </row>
    <row r="17" spans="2:8" ht="13" x14ac:dyDescent="0.3">
      <c r="B17" s="41"/>
      <c r="C17" s="41"/>
      <c r="D17" s="41" t="s">
        <v>73</v>
      </c>
      <c r="E17" s="41" t="s">
        <v>82</v>
      </c>
      <c r="F17" s="41" t="s">
        <v>84</v>
      </c>
      <c r="G17" s="41" t="s">
        <v>79</v>
      </c>
      <c r="H17" s="41" t="s">
        <v>79</v>
      </c>
    </row>
    <row r="18" spans="2:8" ht="13.5" thickBot="1" x14ac:dyDescent="0.35">
      <c r="B18" s="42" t="s">
        <v>43</v>
      </c>
      <c r="C18" s="42" t="s">
        <v>44</v>
      </c>
      <c r="D18" s="42" t="s">
        <v>74</v>
      </c>
      <c r="E18" s="42" t="s">
        <v>83</v>
      </c>
      <c r="F18" s="42" t="s">
        <v>85</v>
      </c>
      <c r="G18" s="42" t="s">
        <v>80</v>
      </c>
      <c r="H18" s="42" t="s">
        <v>81</v>
      </c>
    </row>
    <row r="19" spans="2:8" x14ac:dyDescent="0.25">
      <c r="B19" s="37" t="s">
        <v>122</v>
      </c>
      <c r="C19" s="37" t="s">
        <v>123</v>
      </c>
      <c r="D19" s="37">
        <v>3000</v>
      </c>
      <c r="E19" s="37">
        <v>57</v>
      </c>
      <c r="F19" s="37">
        <v>3000</v>
      </c>
      <c r="G19" s="37">
        <v>380</v>
      </c>
      <c r="H19" s="37">
        <v>2900</v>
      </c>
    </row>
    <row r="20" spans="2:8" x14ac:dyDescent="0.25">
      <c r="B20" s="37" t="s">
        <v>125</v>
      </c>
      <c r="C20" s="37" t="s">
        <v>126</v>
      </c>
      <c r="D20" s="37">
        <v>2000</v>
      </c>
      <c r="E20" s="37">
        <v>97</v>
      </c>
      <c r="F20" s="37">
        <v>2000</v>
      </c>
      <c r="G20" s="37">
        <v>1E+30</v>
      </c>
      <c r="H20" s="37">
        <v>1450</v>
      </c>
    </row>
    <row r="21" spans="2:8" x14ac:dyDescent="0.25">
      <c r="B21" s="37" t="s">
        <v>128</v>
      </c>
      <c r="C21" s="37" t="s">
        <v>129</v>
      </c>
      <c r="D21" s="37">
        <v>900</v>
      </c>
      <c r="E21" s="37">
        <v>137</v>
      </c>
      <c r="F21" s="37">
        <v>900</v>
      </c>
      <c r="G21" s="37">
        <v>211.11111111111111</v>
      </c>
      <c r="H21" s="37">
        <v>900</v>
      </c>
    </row>
    <row r="22" spans="2:8" x14ac:dyDescent="0.25">
      <c r="B22" s="37" t="s">
        <v>131</v>
      </c>
      <c r="C22" s="37" t="s">
        <v>132</v>
      </c>
      <c r="D22" s="37">
        <v>9525</v>
      </c>
      <c r="E22" s="37">
        <v>0</v>
      </c>
      <c r="F22" s="37">
        <v>10000</v>
      </c>
      <c r="G22" s="37">
        <v>1E+30</v>
      </c>
      <c r="H22" s="37">
        <v>475</v>
      </c>
    </row>
    <row r="23" spans="2:8" ht="13" thickBot="1" x14ac:dyDescent="0.3">
      <c r="B23" s="35" t="s">
        <v>134</v>
      </c>
      <c r="C23" s="35" t="s">
        <v>135</v>
      </c>
      <c r="D23" s="35">
        <v>5000</v>
      </c>
      <c r="E23" s="35">
        <v>-7</v>
      </c>
      <c r="F23" s="35">
        <v>5000</v>
      </c>
      <c r="G23" s="35">
        <v>633.33333333333337</v>
      </c>
      <c r="H23" s="35">
        <v>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K19"/>
  <sheetViews>
    <sheetView workbookViewId="0">
      <selection activeCell="B6" sqref="B6"/>
    </sheetView>
  </sheetViews>
  <sheetFormatPr defaultColWidth="9.6328125" defaultRowHeight="12.5" x14ac:dyDescent="0.25"/>
  <cols>
    <col min="1" max="1" width="15.08984375" bestFit="1" customWidth="1"/>
    <col min="2" max="6" width="10.6328125" customWidth="1"/>
  </cols>
  <sheetData>
    <row r="2" spans="1:11" ht="14.25" customHeight="1" x14ac:dyDescent="0.3">
      <c r="A2" s="18"/>
      <c r="B2" s="19"/>
      <c r="D2" s="20"/>
      <c r="E2" s="18"/>
      <c r="F2" s="18"/>
    </row>
    <row r="3" spans="1:11" x14ac:dyDescent="0.25">
      <c r="A3" s="18"/>
      <c r="B3" s="18"/>
      <c r="C3" s="18"/>
      <c r="D3" s="18"/>
      <c r="E3" s="18"/>
      <c r="F3" s="18"/>
      <c r="I3" s="21"/>
      <c r="J3" s="21"/>
      <c r="K3" s="21"/>
    </row>
    <row r="4" spans="1:11" ht="13" x14ac:dyDescent="0.3">
      <c r="A4" s="18"/>
      <c r="B4" s="22" t="s">
        <v>16</v>
      </c>
      <c r="C4" s="20"/>
      <c r="D4" s="20"/>
      <c r="E4" s="18"/>
      <c r="F4" s="18"/>
      <c r="I4" s="23"/>
      <c r="J4" s="23"/>
      <c r="K4" s="23"/>
    </row>
    <row r="5" spans="1:11" ht="13" x14ac:dyDescent="0.3">
      <c r="A5" s="24" t="s">
        <v>17</v>
      </c>
      <c r="B5" s="25" t="s">
        <v>18</v>
      </c>
      <c r="C5" s="25" t="s">
        <v>19</v>
      </c>
      <c r="D5" s="25" t="s">
        <v>20</v>
      </c>
      <c r="E5" s="18"/>
      <c r="F5" s="26"/>
      <c r="I5" s="23"/>
      <c r="J5" s="23"/>
      <c r="K5" s="23"/>
    </row>
    <row r="6" spans="1:11" ht="13" x14ac:dyDescent="0.3">
      <c r="A6" s="24" t="s">
        <v>21</v>
      </c>
      <c r="B6" s="27">
        <v>3000</v>
      </c>
      <c r="C6" s="27">
        <v>550</v>
      </c>
      <c r="D6" s="27">
        <v>900</v>
      </c>
      <c r="E6" s="18"/>
      <c r="F6" s="18"/>
      <c r="I6" s="23"/>
      <c r="J6" s="23"/>
      <c r="K6" s="23"/>
    </row>
    <row r="7" spans="1:11" ht="13" x14ac:dyDescent="0.3">
      <c r="A7" s="24" t="s">
        <v>22</v>
      </c>
      <c r="B7" s="27">
        <v>0</v>
      </c>
      <c r="C7" s="27">
        <v>1450</v>
      </c>
      <c r="D7" s="27">
        <v>0</v>
      </c>
      <c r="E7" s="18"/>
      <c r="F7" s="18"/>
      <c r="I7" s="23"/>
      <c r="J7" s="23"/>
      <c r="K7" s="23"/>
    </row>
    <row r="8" spans="1:11" ht="13" x14ac:dyDescent="0.3">
      <c r="A8" s="10"/>
      <c r="B8" s="28"/>
      <c r="C8" s="28"/>
      <c r="D8" s="28"/>
      <c r="E8" s="18"/>
      <c r="F8" s="18"/>
      <c r="I8" s="23"/>
      <c r="J8" s="23"/>
      <c r="K8" s="23"/>
    </row>
    <row r="9" spans="1:11" ht="13" x14ac:dyDescent="0.3">
      <c r="A9" s="24" t="s">
        <v>23</v>
      </c>
      <c r="B9" s="28"/>
      <c r="C9" s="28"/>
      <c r="D9" s="28"/>
      <c r="E9" s="18"/>
      <c r="F9" s="18"/>
      <c r="I9" s="23"/>
      <c r="J9" s="23"/>
      <c r="K9" s="23"/>
    </row>
    <row r="10" spans="1:11" ht="13.5" thickBot="1" x14ac:dyDescent="0.35">
      <c r="A10" s="24" t="s">
        <v>21</v>
      </c>
      <c r="B10" s="29">
        <v>50</v>
      </c>
      <c r="C10" s="29">
        <v>83</v>
      </c>
      <c r="D10" s="29">
        <v>130</v>
      </c>
      <c r="E10" s="24" t="s">
        <v>24</v>
      </c>
      <c r="G10" s="29"/>
      <c r="I10" s="21"/>
      <c r="J10" s="21"/>
      <c r="K10" s="21"/>
    </row>
    <row r="11" spans="1:11" ht="14" thickTop="1" thickBot="1" x14ac:dyDescent="0.35">
      <c r="A11" s="24" t="s">
        <v>22</v>
      </c>
      <c r="B11" s="29">
        <v>61</v>
      </c>
      <c r="C11" s="29">
        <v>97</v>
      </c>
      <c r="D11" s="29">
        <v>145</v>
      </c>
      <c r="E11" s="30">
        <f>SUMPRODUCT(B10:D11,B6:D7)</f>
        <v>453300</v>
      </c>
      <c r="I11" s="23"/>
      <c r="J11" s="23"/>
      <c r="K11" s="23"/>
    </row>
    <row r="12" spans="1:11" ht="13.5" thickTop="1" x14ac:dyDescent="0.3">
      <c r="A12" s="10"/>
      <c r="B12" s="28"/>
      <c r="C12" s="28"/>
      <c r="D12" s="28"/>
      <c r="E12" s="18"/>
      <c r="F12" s="18"/>
      <c r="I12" s="23"/>
      <c r="J12" s="23"/>
      <c r="K12" s="23"/>
    </row>
    <row r="13" spans="1:11" ht="13" x14ac:dyDescent="0.3">
      <c r="A13" s="24" t="s">
        <v>25</v>
      </c>
      <c r="B13" s="31">
        <f>B6+B7</f>
        <v>3000</v>
      </c>
      <c r="C13" s="31">
        <f>C6+C7</f>
        <v>2000</v>
      </c>
      <c r="D13" s="31">
        <f>D6+D7</f>
        <v>900</v>
      </c>
      <c r="E13" s="18"/>
      <c r="F13" s="18"/>
      <c r="I13" s="23"/>
      <c r="J13" s="23"/>
      <c r="K13" s="23"/>
    </row>
    <row r="14" spans="1:11" ht="13" x14ac:dyDescent="0.3">
      <c r="A14" s="24" t="s">
        <v>26</v>
      </c>
      <c r="B14" s="32">
        <v>3000</v>
      </c>
      <c r="C14" s="32">
        <v>2000</v>
      </c>
      <c r="D14" s="32">
        <v>900</v>
      </c>
      <c r="E14" s="18"/>
      <c r="F14" s="18"/>
      <c r="I14" s="23"/>
      <c r="J14" s="23"/>
      <c r="K14" s="23"/>
    </row>
    <row r="15" spans="1:11" ht="13" x14ac:dyDescent="0.3">
      <c r="A15" s="10"/>
      <c r="B15" s="28"/>
      <c r="C15" s="28"/>
      <c r="D15" s="28"/>
      <c r="E15" s="18"/>
      <c r="F15" s="18"/>
      <c r="I15" s="23"/>
      <c r="J15" s="23"/>
      <c r="K15" s="23"/>
    </row>
    <row r="16" spans="1:11" ht="13" x14ac:dyDescent="0.3">
      <c r="A16" s="24" t="s">
        <v>27</v>
      </c>
      <c r="B16" s="28"/>
      <c r="C16" s="28"/>
      <c r="D16" s="28"/>
      <c r="E16" s="25" t="s">
        <v>28</v>
      </c>
      <c r="F16" s="25" t="s">
        <v>6</v>
      </c>
      <c r="I16" s="21"/>
      <c r="J16" s="33"/>
      <c r="K16" s="21"/>
    </row>
    <row r="17" spans="1:6" ht="13" x14ac:dyDescent="0.3">
      <c r="A17" s="24" t="s">
        <v>29</v>
      </c>
      <c r="B17" s="34">
        <v>2</v>
      </c>
      <c r="C17" s="34">
        <v>1.5</v>
      </c>
      <c r="D17" s="34">
        <v>3</v>
      </c>
      <c r="E17" s="31">
        <f>SUMPRODUCT(B17:D17,$B$6:$D$6)</f>
        <v>9525</v>
      </c>
      <c r="F17" s="32">
        <v>10000</v>
      </c>
    </row>
    <row r="18" spans="1:6" ht="13" x14ac:dyDescent="0.3">
      <c r="A18" s="24" t="s">
        <v>30</v>
      </c>
      <c r="B18" s="34">
        <v>1</v>
      </c>
      <c r="C18" s="34">
        <v>2</v>
      </c>
      <c r="D18" s="34">
        <v>1</v>
      </c>
      <c r="E18" s="31">
        <f>SUMPRODUCT(B18:D18,$B$6:$D$6)</f>
        <v>5000</v>
      </c>
      <c r="F18" s="32">
        <v>5000</v>
      </c>
    </row>
    <row r="19" spans="1:6" x14ac:dyDescent="0.25">
      <c r="A19" s="18"/>
      <c r="B19" s="18"/>
      <c r="C19" s="18"/>
      <c r="D19" s="18"/>
      <c r="E19" s="18"/>
      <c r="F19" s="18"/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Answer Report 1</vt:lpstr>
      <vt:lpstr>Sensitivity Report 1</vt:lpstr>
      <vt:lpstr>ElectroTech</vt:lpstr>
      <vt:lpstr>Answer Report 2</vt:lpstr>
      <vt:lpstr>Sensitivity Report 2</vt:lpstr>
      <vt:lpstr>Sanderson</vt:lpstr>
      <vt:lpstr>Answer Report 4</vt:lpstr>
      <vt:lpstr>Sensitivity Report 4</vt:lpstr>
      <vt:lpstr>ElectroPoly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Jason Siu</cp:lastModifiedBy>
  <dcterms:created xsi:type="dcterms:W3CDTF">1997-04-22T03:52:46Z</dcterms:created>
  <dcterms:modified xsi:type="dcterms:W3CDTF">2022-08-18T07:40:38Z</dcterms:modified>
</cp:coreProperties>
</file>